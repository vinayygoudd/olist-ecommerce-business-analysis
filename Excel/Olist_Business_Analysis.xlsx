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nay\Downloads\"/>
    </mc:Choice>
  </mc:AlternateContent>
  <xr:revisionPtr revIDLastSave="0" documentId="8_{395DE90E-A0BF-4FD8-B1A5-D74509C65A87}" xr6:coauthVersionLast="47" xr6:coauthVersionMax="47" xr10:uidLastSave="{00000000-0000-0000-0000-000000000000}"/>
  <bookViews>
    <workbookView xWindow="-108" yWindow="-108" windowWidth="23256" windowHeight="13176" tabRatio="500" firstSheet="3" activeTab="8" xr2:uid="{00000000-000D-0000-FFFF-FFFF00000000}"/>
  </bookViews>
  <sheets>
    <sheet name="Executive Summary" sheetId="1" r:id="rId1"/>
    <sheet name="Revenue Scenario Model" sheetId="2" r:id="rId2"/>
    <sheet name="RFM Analysis" sheetId="3" r:id="rId3"/>
    <sheet name="Seller Performance" sheetId="4" r:id="rId4"/>
    <sheet name="Key Insights" sheetId="5" r:id="rId5"/>
    <sheet name="Visuals" sheetId="6" r:id="rId6"/>
    <sheet name="Visuals2" sheetId="9" r:id="rId7"/>
    <sheet name="Visuals3" sheetId="7" r:id="rId8"/>
    <sheet name="Visuals4" sheetId="8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7" i="2" l="1"/>
  <c r="D17" i="2"/>
  <c r="E16" i="2"/>
  <c r="F16" i="2" s="1"/>
  <c r="D16" i="2"/>
  <c r="E15" i="2"/>
  <c r="D15" i="2"/>
  <c r="E14" i="2"/>
  <c r="D14" i="2"/>
  <c r="B8" i="2"/>
  <c r="F17" i="2" s="1"/>
  <c r="B7" i="2"/>
  <c r="E29" i="1"/>
  <c r="D29" i="1"/>
  <c r="C29" i="1"/>
  <c r="B29" i="1"/>
  <c r="F14" i="2" l="1"/>
  <c r="F15" i="2"/>
</calcChain>
</file>

<file path=xl/sharedStrings.xml><?xml version="1.0" encoding="utf-8"?>
<sst xmlns="http://schemas.openxmlformats.org/spreadsheetml/2006/main" count="942" uniqueCount="447">
  <si>
    <t>Olist E-Commerce Business Performance Analysis</t>
  </si>
  <si>
    <t>Period: Sep 2016 – Aug 2018  |  Source: Olist Brazilian E-Commerce Dataset (Kaggle)</t>
  </si>
  <si>
    <t>Total Revenue</t>
  </si>
  <si>
    <t>Total Orders</t>
  </si>
  <si>
    <t>Unique Customers</t>
  </si>
  <si>
    <t>Avg Order Value</t>
  </si>
  <si>
    <t>Avg Review Score</t>
  </si>
  <si>
    <t>Late Delivery %</t>
  </si>
  <si>
    <t>R$ 13,221,498</t>
  </si>
  <si>
    <t>96,478</t>
  </si>
  <si>
    <t>93,358</t>
  </si>
  <si>
    <t>R$ 137.04</t>
  </si>
  <si>
    <t>4.16 / 5.0</t>
  </si>
  <si>
    <t>6.8%</t>
  </si>
  <si>
    <t>Monthly Revenue &amp; Orders Trend</t>
  </si>
  <si>
    <t>Month</t>
  </si>
  <si>
    <t>Revenue (R$)</t>
  </si>
  <si>
    <t>Orders</t>
  </si>
  <si>
    <t>Avg Order Value (R$)</t>
  </si>
  <si>
    <t>Avg Review</t>
  </si>
  <si>
    <t>MoM Growth (%)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</si>
  <si>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</si>
  <si>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</si>
  <si>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</si>
  <si>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</si>
  <si>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</si>
  <si>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</si>
  <si>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</si>
  <si>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</si>
  <si>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</si>
  <si>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</si>
  <si>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</si>
  <si>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</si>
  <si>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</si>
  <si>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</si>
  <si>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</si>
  <si>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</si>
  <si>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</si>
  <si>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</si>
  <si>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</si>
  <si>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</si>
  <si>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TOTAL</t>
  </si>
  <si>
    <t>Revenue Scenario Model — What-If Analysis</t>
  </si>
  <si>
    <t>Blue cells = inputs you can change | Black cells = calculated automatically</t>
  </si>
  <si>
    <t>BASE METRICS (2017-2018 Actuals)</t>
  </si>
  <si>
    <t>Baseline Monthly Orders</t>
  </si>
  <si>
    <t>Baseline Avg Order Value (R$)</t>
  </si>
  <si>
    <t>Baseline Monthly Revenue (R$)</t>
  </si>
  <si>
    <t>Annual Revenue (R$)</t>
  </si>
  <si>
    <t>Total Unique Customers</t>
  </si>
  <si>
    <t>Repeat Purchase Rate (%)</t>
  </si>
  <si>
    <t>GROWTH SCENARIOS — Adjust the growth rates in blue to model different futures</t>
  </si>
  <si>
    <t>Scenario</t>
  </si>
  <si>
    <t>Order Growth (%)</t>
  </si>
  <si>
    <t>AOV Growth (%)</t>
  </si>
  <si>
    <t>Projected Monthly Revenue (R$)</t>
  </si>
  <si>
    <t>Projected Annual Revenue (R$)</t>
  </si>
  <si>
    <t>Revenue Uplift vs Baseline (R$)</t>
  </si>
  <si>
    <t>Conservative</t>
  </si>
  <si>
    <t>Base Case</t>
  </si>
  <si>
    <t>Optimistic</t>
  </si>
  <si>
    <t>Aggressive</t>
  </si>
  <si>
    <t>Top 15 Categories — Revenue Breakdown</t>
  </si>
  <si>
    <t>Category</t>
  </si>
  <si>
    <t>Total Revenue (R$)</t>
  </si>
  <si>
    <t>Revenue Share (%)</t>
  </si>
  <si>
    <t>Cumulative Share (%)</t>
  </si>
  <si>
    <t>health_beauty</t>
  </si>
  <si>
    <t>watches_gifts</t>
  </si>
  <si>
    <t>bed_bath_table</t>
  </si>
  <si>
    <t>sports_leisure</t>
  </si>
  <si>
    <t>computers_accessories</t>
  </si>
  <si>
    <t>furniture_decor</t>
  </si>
  <si>
    <t>housewares</t>
  </si>
  <si>
    <t>cool_stuff</t>
  </si>
  <si>
    <t>auto</t>
  </si>
  <si>
    <t>garden_tools</t>
  </si>
  <si>
    <t>toys</t>
  </si>
  <si>
    <t>baby</t>
  </si>
  <si>
    <t>perfumery</t>
  </si>
  <si>
    <t>telephony</t>
  </si>
  <si>
    <t>office_furniture</t>
  </si>
  <si>
    <t>Customer RFM Segmentation Analysis</t>
  </si>
  <si>
    <t>Segment Summary</t>
  </si>
  <si>
    <t>Segment</t>
  </si>
  <si>
    <t>Customers</t>
  </si>
  <si>
    <t>Avg Recency (days)</t>
  </si>
  <si>
    <t>Avg Frequency</t>
  </si>
  <si>
    <t>Avg Spend (R$)</t>
  </si>
  <si>
    <t>Champions</t>
  </si>
  <si>
    <t>Loyal Customers</t>
  </si>
  <si>
    <t>Potential Loyalists</t>
  </si>
  <si>
    <t>At Risk</t>
  </si>
  <si>
    <t>Lost</t>
  </si>
  <si>
    <t>RFM Customer Detail — Top 200 by Spend</t>
  </si>
  <si>
    <t>Customer ID</t>
  </si>
  <si>
    <t>Recency (days)</t>
  </si>
  <si>
    <t>Frequency</t>
  </si>
  <si>
    <t>Monetary (R$)</t>
  </si>
  <si>
    <t>RFM Score</t>
  </si>
  <si>
    <t>R | F | M Scores</t>
  </si>
  <si>
    <t>0a0a92112bd4c708ca5fde585afaa872</t>
  </si>
  <si>
    <t>R:2 F:1 M:5</t>
  </si>
  <si>
    <t>da122df9eeddfedc1dc1f5349a1a690c</t>
  </si>
  <si>
    <t>R:1 F:5 M:5</t>
  </si>
  <si>
    <t>763c8b1c9c68a0229c42c9fc6f662b93</t>
  </si>
  <si>
    <t>R:5 F:3 M:5</t>
  </si>
  <si>
    <t>dc4802a71eae9be1dd28f5d788ceb526</t>
  </si>
  <si>
    <t>459bef486812aa25204be022145caa62</t>
  </si>
  <si>
    <t>R:5 F:2 M:5</t>
  </si>
  <si>
    <t>ff4159b92c40ebe40454e3e6a7c35ed6</t>
  </si>
  <si>
    <t>4007669dec559734d6f53e029e360987</t>
  </si>
  <si>
    <t>R:2 F:2 M:5</t>
  </si>
  <si>
    <t>eebb5dda148d3893cdaf5b5ca3040ccb</t>
  </si>
  <si>
    <t>48e1ac109decbb87765a3eade6854098</t>
  </si>
  <si>
    <t>a229eba70ec1c2abef51f04987deb7a5</t>
  </si>
  <si>
    <t>R:5 F:4 M:5</t>
  </si>
  <si>
    <t>edde2314c6c30e864a128ac95d6b2112</t>
  </si>
  <si>
    <t>R:5 F:5 M:5</t>
  </si>
  <si>
    <t>fa562ef24d41361e476e748681810e1e</t>
  </si>
  <si>
    <t>R:4 F:5 M:5</t>
  </si>
  <si>
    <t>c8460e4251689ba205045f3ea17884a1</t>
  </si>
  <si>
    <t>ca27f3dac28fb1063faddd424c9d95fa</t>
  </si>
  <si>
    <t>011875f0176909c5cf0b14a9138bb691</t>
  </si>
  <si>
    <t>R:1 F:1 M:5</t>
  </si>
  <si>
    <t>edf81e1f3070b9dac83ec83dacdbb9bc</t>
  </si>
  <si>
    <t>5e713be0853d8986528d7869a0811d2b</t>
  </si>
  <si>
    <t>R:1 F:2 M:5</t>
  </si>
  <si>
    <t>f0767ae738c3d90e7b737d7b8b8bb4d1</t>
  </si>
  <si>
    <t>58483a1c055dfb600f57c5b867174542</t>
  </si>
  <si>
    <t>3fec1a05177762f279472253113d568a</t>
  </si>
  <si>
    <t>R:4 F:2 M:5</t>
  </si>
  <si>
    <t>5d09b0d82126457e2a8ebfb9c9a1ffc4</t>
  </si>
  <si>
    <t>bc5e25094a7d51b6aee35236572e64f4</t>
  </si>
  <si>
    <t>R:3 F:4 M:5</t>
  </si>
  <si>
    <t>931eabdf0636b8fd60369a8d759917d6</t>
  </si>
  <si>
    <t>R:1 F:3 M:5</t>
  </si>
  <si>
    <t>03796b63235e0e0a299084988c662c7e</t>
  </si>
  <si>
    <t>59d66d72939bc9497e19d89c61a96d5f</t>
  </si>
  <si>
    <t>2c3b08cf3584d8c0a81d9618a73aa219</t>
  </si>
  <si>
    <t>R:4 F:1 M:5</t>
  </si>
  <si>
    <t>76a08544f95591acec0d4c976054c459</t>
  </si>
  <si>
    <t>R:3 F:3 M:5</t>
  </si>
  <si>
    <t>9b11e010850a4045d2da80c7783fdbd1</t>
  </si>
  <si>
    <t>7a96eb0a685f5c19b7dad29fc802aa64</t>
  </si>
  <si>
    <t>46450c74a0d8c5ca9395da1daac6c120</t>
  </si>
  <si>
    <t>bbeb907759ef5fc169099af3c88d535d</t>
  </si>
  <si>
    <t>R:4 F:4 M:5</t>
  </si>
  <si>
    <t>53fb3435773a4690e56010b169ee2820</t>
  </si>
  <si>
    <t>R:3 F:2 M:5</t>
  </si>
  <si>
    <t>1b76903617af13189607a36b0469f6f3</t>
  </si>
  <si>
    <t>ce3fe361f9e68bf0a813baaae1334d01</t>
  </si>
  <si>
    <t>95a744604de66a2e40e18086e69be4f2</t>
  </si>
  <si>
    <t>895617ab63a9ad8881d9470f7427cd25</t>
  </si>
  <si>
    <t>R:2 F:3 M:5</t>
  </si>
  <si>
    <t>c6111f70f40b3420e387493c627c27fa</t>
  </si>
  <si>
    <t>R:2 F:4 M:5</t>
  </si>
  <si>
    <t>f886a3f43af9ac928fbb4b56436c528c</t>
  </si>
  <si>
    <t>2ae8173a688e326821403a5b7a6858c2</t>
  </si>
  <si>
    <t>ea984b06b18cc6905bc2f9b0a3d1c986</t>
  </si>
  <si>
    <t>ff0ae98646e7bbb41cf0f0d3991fef98</t>
  </si>
  <si>
    <t>6172bd5b7f52ade8c6c4548b448ff54f</t>
  </si>
  <si>
    <t>0f75637a7e2f7b6ae43665d1f7d0ca5d</t>
  </si>
  <si>
    <t>ee2bb06c1d3f368e92084edefb7e4b57</t>
  </si>
  <si>
    <t>6f00d356a4be20527662aaf12116baab</t>
  </si>
  <si>
    <t>ae04948ad7210ea76801b331080e0b3a</t>
  </si>
  <si>
    <t>R:1 F:4 M:5</t>
  </si>
  <si>
    <t>be825ddd3b40db3f91bf05b4e9435d56</t>
  </si>
  <si>
    <t>adfa1cab2b2c8706db21bb13c0a1beb1</t>
  </si>
  <si>
    <t>129bfc164612d70a040a844b887dfec5</t>
  </si>
  <si>
    <t>d9f8d6be11fb416742c9e35e725303f7</t>
  </si>
  <si>
    <t>R:2 F:5 M:5</t>
  </si>
  <si>
    <t>5599df2eeb9e2e4f377db24e09cb976f</t>
  </si>
  <si>
    <t>ef8d54b3797ea4db1d63f0ced6a906e9</t>
  </si>
  <si>
    <t>c38b132f1c68c14c0d3b32e66b796eba</t>
  </si>
  <si>
    <t>c21e93b1d7b7a416d0f36fa6ebc1d60a</t>
  </si>
  <si>
    <t>34ff67eb3466a779b2f6b6fd56a3b953</t>
  </si>
  <si>
    <t>25bedfc6317ec4a379ef49b9c1049733</t>
  </si>
  <si>
    <t>030a810edeec1ceea314282513023587</t>
  </si>
  <si>
    <t>ec5d2f91c651ce345616c7035fab6f9d</t>
  </si>
  <si>
    <t>0de97ff655abfc142ba6fc83e86bf082</t>
  </si>
  <si>
    <t>4683ad127301c1bcbd601a30bb22d2ba</t>
  </si>
  <si>
    <t>8ad6fdb3d658f916f444aaf55a49bb29</t>
  </si>
  <si>
    <t>R:4 F:3 M:5</t>
  </si>
  <si>
    <t>1e7097be947ad5d0f7819bdc9d8d7d0e</t>
  </si>
  <si>
    <t>149b43a4776ea0a773ac75bc58830fb9</t>
  </si>
  <si>
    <t>acc38a550c42d17125cd25c32a464d26</t>
  </si>
  <si>
    <t>fc54c2c09aee36da48881e5bf37ef795</t>
  </si>
  <si>
    <t>R:3 F:5 M:5</t>
  </si>
  <si>
    <t>81d8bf17c9e450228efeedd2603edfaa</t>
  </si>
  <si>
    <t>13d9920a16127351540bcd95ad4643c8</t>
  </si>
  <si>
    <t>R:3 F:1 M:5</t>
  </si>
  <si>
    <t>c949c73b1318491d6b5b117acb3e24a4</t>
  </si>
  <si>
    <t>bb149f7e7bfee3d984e265d0eae6181b</t>
  </si>
  <si>
    <t>7814db11654d2bf3b43bae828b6eee05</t>
  </si>
  <si>
    <t>684da9ec00ee25877fe21ce197403d04</t>
  </si>
  <si>
    <t>26b5839e505ee33e6a449f7c2c403f99</t>
  </si>
  <si>
    <t>R:5 F:1 M:5</t>
  </si>
  <si>
    <t>f44ffa618df5f8a65899275c93b14ae2</t>
  </si>
  <si>
    <t>69e4e534ba5e6a8124d132b271923148</t>
  </si>
  <si>
    <t>d8f1c3ed0de527caf0a7eceeb025b583</t>
  </si>
  <si>
    <t>0621cda5f3ee9a2e6f3ae6ebb5fcdbe1</t>
  </si>
  <si>
    <t>212b7cfb2631b23e85a4645a7cba1733</t>
  </si>
  <si>
    <t>7386ded430d6aeb715a0d087c38a2dfe</t>
  </si>
  <si>
    <t>0bec90ebca9ff4b2b830950bb052e52d</t>
  </si>
  <si>
    <t>24c0598e5978021ede868fbf7526544a</t>
  </si>
  <si>
    <t>d77aa95864ae5b42160937615628723a</t>
  </si>
  <si>
    <t>d3ef55d6de8e4be1d4b905e8169224b5</t>
  </si>
  <si>
    <t>84056c11d63b679a61f195ef043505f4</t>
  </si>
  <si>
    <t>98133dfcdb0c24fa03c9eb4f0d69a6c4</t>
  </si>
  <si>
    <t>5dff3703f9d82688ab5a1c92df1e4b18</t>
  </si>
  <si>
    <t>85475e754525d6d222d917dbc8251801</t>
  </si>
  <si>
    <t>bef3ce10ea5715fbcbcbe3b266ee94c5</t>
  </si>
  <si>
    <t>8e07cbdbbb24328ece74135e2a81405b</t>
  </si>
  <si>
    <t>02ccceb879088a0253e1e46e0200bdb8</t>
  </si>
  <si>
    <t>5e92460d739e8dd987e279285a1d278c</t>
  </si>
  <si>
    <t>f140f377d666848e3712b51a2734d120</t>
  </si>
  <si>
    <t>6963ee67570e4454bf00b3e5fe52f734</t>
  </si>
  <si>
    <t>e6fad5b1c79a4760aac5068d09c46535</t>
  </si>
  <si>
    <t>c01158adcf91ee8f143d12388abe5f22</t>
  </si>
  <si>
    <t>87070b00f89fa49dd0b01ff4bf075b8c</t>
  </si>
  <si>
    <t>c7794313e2cd53472b116a751350f132</t>
  </si>
  <si>
    <t>e3e0e9112264452e4700d977ce02a4d1</t>
  </si>
  <si>
    <t>00c07da5ba0e07b4f248a3a373b07476</t>
  </si>
  <si>
    <t>8a8ac60fd8ea25925f379a33ef277987</t>
  </si>
  <si>
    <t>ec4b05ce75316354ba9b297f64377ed6</t>
  </si>
  <si>
    <t>7b0eaf68a16e4808e5388c67345033c9</t>
  </si>
  <si>
    <t>6a71207bf8784292ad3f6e107ab57755</t>
  </si>
  <si>
    <t>bd90c3e19e58ff2439e72b0554026418</t>
  </si>
  <si>
    <t>86df00dc5fd68f4dd5d5945ca19f3ed6</t>
  </si>
  <si>
    <t>8bce6306eb006a2ff6135ba36d33d644</t>
  </si>
  <si>
    <t>bd879722dc92d795d57264b3c1e09f6a</t>
  </si>
  <si>
    <t>bd8717655febcdf30f106e9f3cb24628</t>
  </si>
  <si>
    <t>7dd0031f1da839843abbcda4e9fb317b</t>
  </si>
  <si>
    <t>352edc42ddf92161e32abb07872de623</t>
  </si>
  <si>
    <t>e79c794eb044c594d923722240125052</t>
  </si>
  <si>
    <t>c53a15252bb69a238a59b79c58a84bcf</t>
  </si>
  <si>
    <t>fa094305fdb6062436c99adba7d53dde</t>
  </si>
  <si>
    <t>1579133af5d1fadd0e5e37ec439ed1ec</t>
  </si>
  <si>
    <t>9d15276f07200ca33bdd7eab12ba67ad</t>
  </si>
  <si>
    <t>25d558c329b841732700cb45b86260cf</t>
  </si>
  <si>
    <t>9db254a87951220e74c58549749cf128</t>
  </si>
  <si>
    <t>03adb96012772d4374285b6a701f3da9</t>
  </si>
  <si>
    <t>1a3a962a15f8c6ee0178e1102387d3cc</t>
  </si>
  <si>
    <t>25d6024f1eadd97cf86cfcfb7e9617dd</t>
  </si>
  <si>
    <t>669e44130af1f9e6d3523ab852672374</t>
  </si>
  <si>
    <t>b26746dace6d5d8633283ef402271974</t>
  </si>
  <si>
    <t>14f5335a43420b92aa77e1f35ada3f42</t>
  </si>
  <si>
    <t>ea6f9323b5f8d196980fa72fb91546d0</t>
  </si>
  <si>
    <t>445e36c0849ad359c7b6d99786c3357c</t>
  </si>
  <si>
    <t>c77dde0ffa573d733a5afe93774246ec</t>
  </si>
  <si>
    <t>12ebfdb41392890f9d7a8de957274741</t>
  </si>
  <si>
    <t>02e8a66528e84b3ca6150d9b1e03a26f</t>
  </si>
  <si>
    <t>a58b1fe8146940d706e5f07d73bc7d51</t>
  </si>
  <si>
    <t>cad51aa032a0834a45c27586bce31d1c</t>
  </si>
  <si>
    <t>6ddbc64bd04d40f7768ff088d94cbeb8</t>
  </si>
  <si>
    <t>575fa0cb05146c256ec1c9d348ec0305</t>
  </si>
  <si>
    <t>e0a7e61d37dd4060ab419bdb93a9f05d</t>
  </si>
  <si>
    <t>3baa1dfebd3d28ccc8cdbf5d9faa7602</t>
  </si>
  <si>
    <t>00adeda9b742746c0c66e10d00ea1b74</t>
  </si>
  <si>
    <t>82cd8a647fc34614fde430b3285b913e</t>
  </si>
  <si>
    <t>2f99070486aafcc5dac7a979c1ed5f32</t>
  </si>
  <si>
    <t>8a8a3b96590da699865fa7e07e0e08ff</t>
  </si>
  <si>
    <t>59bfe97acaf7979ebbc663af8bb1827d</t>
  </si>
  <si>
    <t>46e8adbe1802b0aa1d172eb1a4eba9fe</t>
  </si>
  <si>
    <t>e8258022c5060b1f3d861556a17fd741</t>
  </si>
  <si>
    <t>73601b1eec55943e90ce8d61253d5c09</t>
  </si>
  <si>
    <t>c402f431464c72e27330a67f7b94d4fb</t>
  </si>
  <si>
    <t>efb14cc2969129e2d865bc75be239916</t>
  </si>
  <si>
    <t>af4add6ae61530f1768eef38c9a52c05</t>
  </si>
  <si>
    <t>5330670c6666e6f35a2688802fdb235f</t>
  </si>
  <si>
    <t>055ec572ac7f3c7bdd04a183830ebe59</t>
  </si>
  <si>
    <t>4c4645e724402ec958ead69dbf1ade6c</t>
  </si>
  <si>
    <t>af366f48405f787edafa83d61e9ab5c5</t>
  </si>
  <si>
    <t>18d3c0c7617e44eab9bef19f29bbdb1b</t>
  </si>
  <si>
    <t>03d1be27ccf6d46178ecd2ad2cc1db10</t>
  </si>
  <si>
    <t>921972f1568c1c75a26b18b4cb4ed5a7</t>
  </si>
  <si>
    <t>a5854c79718864cb7023094de2c0f8f8</t>
  </si>
  <si>
    <t>6ead799d8a12f9095ab29409be2aa075</t>
  </si>
  <si>
    <t>963fee8d1953b0f2bc792a06043fb11c</t>
  </si>
  <si>
    <t>10e1df2717597281c5cffa0e0a7ca7cb</t>
  </si>
  <si>
    <t>0bc62798218b7ebd8849210c509efe1d</t>
  </si>
  <si>
    <t>75a8083e27e7af87d890db460e048efa</t>
  </si>
  <si>
    <t>10080cf8d46d43de1133521a8567b153</t>
  </si>
  <si>
    <t>5a04d5472eb5ee998250f0977b31f772</t>
  </si>
  <si>
    <t>9cb4965f1caae128f5a82f1345e2e8bc</t>
  </si>
  <si>
    <t>7de6d654e4d5b71483c3799468bc27e6</t>
  </si>
  <si>
    <t>918c2334c6537fd745c6aea1e3fe54f8</t>
  </si>
  <si>
    <t>b8b32554df7a612f3aefb40b44653a4d</t>
  </si>
  <si>
    <t>c705e3b98b76bd8e56d09625ac94216a</t>
  </si>
  <si>
    <t>92ce8d58d57d7a8f8b2d5ca4b9810b64</t>
  </si>
  <si>
    <t>82c0c03a1fb8968a30707374c8566fba</t>
  </si>
  <si>
    <t>26745aefcbade7bf038c84f9529ba5b1</t>
  </si>
  <si>
    <t>7c82b91749355c6daebaada73da54e2e</t>
  </si>
  <si>
    <t>ee10b948f421cd32fab5283f814d0b78</t>
  </si>
  <si>
    <t>a813e96ecd044395587037a8314a4151</t>
  </si>
  <si>
    <t>e197b5ef3ad3220f87041f2475b37c81</t>
  </si>
  <si>
    <t>b0c3cd877e81291a25eb0be8b1919458</t>
  </si>
  <si>
    <t>af17def00ed5fb1ccbebfe805b0bb641</t>
  </si>
  <si>
    <t>ea1c9b1a4cc63f26f5a165203a4ebd4f</t>
  </si>
  <si>
    <t>3d60952351a48ae05804341ab1e3f7fa</t>
  </si>
  <si>
    <t>613835be7274f39d246f0c9c264ca132</t>
  </si>
  <si>
    <t>559026a1299bd2ede976c8d516d92258</t>
  </si>
  <si>
    <t>87566fe4966777f59b86e1313f177587</t>
  </si>
  <si>
    <t>5e5a9e721cb83187f5893a8c7109faee</t>
  </si>
  <si>
    <t>a3331aa44b50207a2f580848a07f0a6f</t>
  </si>
  <si>
    <t>44975ad30406e58b8c7f2a8dae4c46f8</t>
  </si>
  <si>
    <t>8f86544c8854a0d0b347511a24981b77</t>
  </si>
  <si>
    <t>a22ee6bd65e350c2d1a0d9a12c2e465f</t>
  </si>
  <si>
    <t>1da09dd64e235e7c2f29a4faff33535c</t>
  </si>
  <si>
    <t>15be5104d4c41b5e0dada09bfa5215d9</t>
  </si>
  <si>
    <t>60055ae4e5bdcbf7d567809728def6ed</t>
  </si>
  <si>
    <t>f28efe52152019a633891bfdb679886e</t>
  </si>
  <si>
    <t>698e1cf81d01a3d389d96145f7fa6df8</t>
  </si>
  <si>
    <t>6e328f26167e5c9f1c9ac765e6e95f4d</t>
  </si>
  <si>
    <t>2621b577faf30c524ef1f0fff766a575</t>
  </si>
  <si>
    <t>e09ede1057212120a291c4fa1f832c63</t>
  </si>
  <si>
    <t>69b2b29382af03e03e486ad307a76000</t>
  </si>
  <si>
    <t>83486a65903aefe02ed3bac7c23b5f65</t>
  </si>
  <si>
    <t>8831da2a67b7007cd92faef855f9fb52</t>
  </si>
  <si>
    <t>02b6ef845021b8fefe19c8d200f3ee06</t>
  </si>
  <si>
    <t>e650a740f366df1d65e17eeda8cccb43</t>
  </si>
  <si>
    <t>d77f9e20bf24f723cb3d4472a1d1b837</t>
  </si>
  <si>
    <t>237beb4b0ae00c80268b9b894ed3f65a</t>
  </si>
  <si>
    <t>ee4fb55368c4c4fa5069f4c7cbe0ed2e</t>
  </si>
  <si>
    <t>15dcd36d3c50ae6540aa942684f51824</t>
  </si>
  <si>
    <t>Seller Performance Dashboard</t>
  </si>
  <si>
    <t>Performance Tier Summary</t>
  </si>
  <si>
    <t>Tier</t>
  </si>
  <si>
    <t>Sellers</t>
  </si>
  <si>
    <t>Avg Revenue (R$)</t>
  </si>
  <si>
    <t>Avg Delay (days)</t>
  </si>
  <si>
    <t>Bronze</t>
  </si>
  <si>
    <t>Gold</t>
  </si>
  <si>
    <t>Platinum</t>
  </si>
  <si>
    <t>Silver</t>
  </si>
  <si>
    <t>Top 50 Sellers by Revenue</t>
  </si>
  <si>
    <t>Rank</t>
  </si>
  <si>
    <t>Seller ID</t>
  </si>
  <si>
    <t>State</t>
  </si>
  <si>
    <t>City</t>
  </si>
  <si>
    <t>4869f7a5dfa277a7dca6462dcf3b52b2</t>
  </si>
  <si>
    <t>SP</t>
  </si>
  <si>
    <t>guariba</t>
  </si>
  <si>
    <t>53243585a1d6dc2643021fd1853d8905</t>
  </si>
  <si>
    <t>BA</t>
  </si>
  <si>
    <t>lauro de freitas</t>
  </si>
  <si>
    <t>4a3ca9315b744ce9f8e9374361493884</t>
  </si>
  <si>
    <t>ibitinga</t>
  </si>
  <si>
    <t>fa1c13f2614d7b5c4749cbc52fecda94</t>
  </si>
  <si>
    <t>sumare</t>
  </si>
  <si>
    <t>7c67e1448b00f6e969d365cea6b010ab</t>
  </si>
  <si>
    <t>itaquaquecetuba</t>
  </si>
  <si>
    <t>7e93a43ef30c4f03f38b393420bc753a</t>
  </si>
  <si>
    <t>barueri</t>
  </si>
  <si>
    <t>da8622b14eb17ae2831f4ac5b9dab84a</t>
  </si>
  <si>
    <t>piracicaba</t>
  </si>
  <si>
    <t>7a67c85e85bb2ce8582c35f2203ad736</t>
  </si>
  <si>
    <t>sao paulo</t>
  </si>
  <si>
    <t>1025f0e2d44d7041d6cf58b6550e0bfa</t>
  </si>
  <si>
    <t>955fee9216a65b617aa5c0531780ce60</t>
  </si>
  <si>
    <t>46dc3b2cc0980fb8ec44634e21d2718e</t>
  </si>
  <si>
    <t>RJ</t>
  </si>
  <si>
    <t>rio de janeiro</t>
  </si>
  <si>
    <t>6560211a19b47992c3666cc44a7e94c0</t>
  </si>
  <si>
    <t>7d13fca15225358621be4086e1eb0964</t>
  </si>
  <si>
    <t>ribeirao preto</t>
  </si>
  <si>
    <t>620c87c171fb2a6dd6e8bb4dec959fc6</t>
  </si>
  <si>
    <t>petropolis</t>
  </si>
  <si>
    <t>5dceca129747e92ff8ef7a997dc4f8ca</t>
  </si>
  <si>
    <t>santa barbara d´oeste</t>
  </si>
  <si>
    <t>1f50f920176fa81dab994f9023523100</t>
  </si>
  <si>
    <t>sao jose do rio preto</t>
  </si>
  <si>
    <t>cc419e0650a3c5ba77189a1882b7556a</t>
  </si>
  <si>
    <t>santo andre</t>
  </si>
  <si>
    <t>a1043bafd471dff536d0c462352beb48</t>
  </si>
  <si>
    <t>MG</t>
  </si>
  <si>
    <t>ilicinea</t>
  </si>
  <si>
    <t>3d871de0142ce09b7081e2b9d1733cb1</t>
  </si>
  <si>
    <t>campo limpo paulista</t>
  </si>
  <si>
    <t>edb1ef5e36e0c8cd84eb3c9b003e486d</t>
  </si>
  <si>
    <t>teresopolis</t>
  </si>
  <si>
    <t>ccc4bbb5f32a6ab2b7066a4130f114e3</t>
  </si>
  <si>
    <t>PR</t>
  </si>
  <si>
    <t>curitiba</t>
  </si>
  <si>
    <t>f7ba60f8c3f99e7ee4042fdef03b70c4</t>
  </si>
  <si>
    <t>sao bernardo do campo</t>
  </si>
  <si>
    <t>fe2032dab1a61af8794248c8196565c9</t>
  </si>
  <si>
    <t>campinas</t>
  </si>
  <si>
    <t>8581055ce74af1daba164fdbd55a40de</t>
  </si>
  <si>
    <t>guarulhos</t>
  </si>
  <si>
    <t>cca3071e3e9bb7d12640c9fbe2301306</t>
  </si>
  <si>
    <t>04308b1ee57b6625f47df1d56f00eedf</t>
  </si>
  <si>
    <t>SC</t>
  </si>
  <si>
    <t>bombinhas</t>
  </si>
  <si>
    <t>522620dcb18a6b31cd7bdf73665113a9</t>
  </si>
  <si>
    <t>cascavel</t>
  </si>
  <si>
    <t>de722cd6dad950a92b7d4f82673f8833</t>
  </si>
  <si>
    <t>PE</t>
  </si>
  <si>
    <t>recife</t>
  </si>
  <si>
    <t>37be5a7c751166fbc5f8ccba4119e043</t>
  </si>
  <si>
    <t>7ddcbb64b5bc1ef36ca8c151f6ec77df</t>
  </si>
  <si>
    <t>17e34d8224d27a541263c4c64b11a56b</t>
  </si>
  <si>
    <t>riberao preto</t>
  </si>
  <si>
    <t>218d46b86c1881d022bce9c68a7d4b15</t>
  </si>
  <si>
    <t>ceaec5548eefc6e23e6607c5435102e7</t>
  </si>
  <si>
    <t>f5a590cf36251cf1162ea35bef76fe84</t>
  </si>
  <si>
    <t>e882b2a25a10b9c057cc49695f222c19</t>
  </si>
  <si>
    <t>25c5c91f63607446a97b143d2d535d31</t>
  </si>
  <si>
    <t>itauna</t>
  </si>
  <si>
    <t>2bf6a2c1e71bbd29a4ad64e6d3c3629f</t>
  </si>
  <si>
    <t>nova friburgo</t>
  </si>
  <si>
    <t>f8db351d8c4c4c22c6835c19a46f01b0</t>
  </si>
  <si>
    <t>salto</t>
  </si>
  <si>
    <t>b2ba3715d723d245138f291a6fe42594</t>
  </si>
  <si>
    <t>17f51e7198701186712e53a39c564617</t>
  </si>
  <si>
    <t>8160255418d5aaa7dbdc9f4c64ebda44</t>
  </si>
  <si>
    <t>77530e9772f57a62c906e1c21538ab82</t>
  </si>
  <si>
    <t>4e922959ae960d389249c378d1c939f5</t>
  </si>
  <si>
    <t>jacarei</t>
  </si>
  <si>
    <t>850f4f8af5ea87287ac68de36e29107f</t>
  </si>
  <si>
    <t>966cb4760537b1404caedd472cc610a5</t>
  </si>
  <si>
    <t>diadema</t>
  </si>
  <si>
    <t>c826c40d7b19f62a09e2d7c5e7295ee2</t>
  </si>
  <si>
    <t>ba90964cff9b9e0e6f32b23b82465f7b</t>
  </si>
  <si>
    <t>b33e7c55446eabf8fe1a42d037ac7d6d</t>
  </si>
  <si>
    <t>pradopolis</t>
  </si>
  <si>
    <t>eeb6de78f79159600292e314a77cbd18</t>
  </si>
  <si>
    <t>lages</t>
  </si>
  <si>
    <t>b839e41795b7f3ad94cc2014a52f6796</t>
  </si>
  <si>
    <t>sao caetano do sul</t>
  </si>
  <si>
    <t>Key Business Insights &amp; Recommendations</t>
  </si>
  <si>
    <t>INSIGHT 1: Revenue Concentration Risk</t>
  </si>
  <si>
    <t>Top 3 states (SP, RJ, MG) account for 63.4% of total revenue. SP alone contributes R$5.07M. This concentration creates fragility — any demand shock in SP disproportionately impacts the entire business.</t>
  </si>
  <si>
    <t>ACTION:  RECOMMENDATION: Launch targeted seller acquisition and marketing campaigns in RS, PR, and SC to diversify revenue base across emerging markets.</t>
  </si>
  <si>
    <t>INSIGHT 2: Critical Customer Retention Problem</t>
  </si>
  <si>
    <t>Only 3.0% of customers make more than one purchase. With 93,358 unique customers, the business is entirely dependent on acquisition — there is virtually no retention engine working. Customer Lifetime Value is severely depressed by this single-purchase pattern.</t>
  </si>
  <si>
    <t>ACTION:  RECOMMENDATION: Implement a post-purchase email sequence at 30/60/90 days. Offer loyalty incentives to the 7,894 Champion customers first — they already contribute 17.8% of total revenue and are the highest-ROI retention target.</t>
  </si>
  <si>
    <t>INSIGHT 3: Delivery Delays Are Destroying Review Scores</t>
  </si>
  <si>
    <t>6.8% of orders arrive late. Average review score for orders delayed 5+ days is 1.83/5.0 vs 4.29/5.0 for on-time deliveries — a full point difference that directly suppresses repeat purchase intent. Late deliveries cluster in Northern/Northeast states with long average delivery times.</t>
  </si>
  <si>
    <t>ACTION:  RECOMMENDATION: Introduce SLA tracking by seller and suspend sellers with &gt;15% late delivery rate. Negotiate carrier agreements in high-delay states. Show customers realistic delivery estimates to reduce expectation mismatch.</t>
  </si>
  <si>
    <t>INSIGHT 4: Health &amp; Beauty is the #1 Revenue Category</t>
  </si>
  <si>
    <t>Health Beauty drives R$1.23M (9.3% of revenue). The top 5 categories account for the majority of revenue, while the long tail of categories generates marginal revenue. Category concentration mirrors geographic concentration.</t>
  </si>
  <si>
    <t>ACTION:  RECOMMENDATION: Increase seller count and SKU depth in health_beauty, computers_accessories, and furniture_decor — the three categories with highest revenue AND acceptable review scores (above 4.0).</t>
  </si>
  <si>
    <t>INSIGHT 5: 74% of Customers Are Reachable — Not Yet Lost</t>
  </si>
  <si>
    <t>RFM segmentation shows 77,675 customers (74%) fall into Champions, Loyal, or Potential Loyalist segments. The 'At Risk' group (12,434 customers) represents a winback opportunity worth approximately R$658,202 in historical spend.</t>
  </si>
  <si>
    <t>ACTION:  RECOMMENDATION: Run a targeted winback campaign for At Risk customers who spent R$300+ historically. A 10% reactivation rate would recover approximately R$0 in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</si>
</sst>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495057"/>
      <name val="Arial"/>
      <charset val="1"/>
    </font>
    <font>
      <b/>
      <sz val="11"/>
      <color rgb="FFFFFFFF"/>
      <name val="Arial"/>
      <charset val="1"/>
    </font>
    <font>
      <b/>
      <sz val="12"/>
      <color rgb="FF1B4332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  <font>
      <sz val="10"/>
      <color rgb="FF2D6A4F"/>
      <name val="Arial"/>
      <charset val="1"/>
    </font>
    <font>
      <sz val="10"/>
      <color rgb="FFE76F51"/>
      <name val="Arial"/>
      <charset val="1"/>
    </font>
    <font>
      <b/>
      <sz val="10"/>
      <name val="Arial"/>
      <charset val="1"/>
    </font>
    <font>
      <b/>
      <sz val="14"/>
      <color rgb="FFFFFFFF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F4845F"/>
      <name val="Arial"/>
      <charset val="1"/>
    </font>
    <font>
      <b/>
      <sz val="10"/>
      <color rgb="FF52B788"/>
      <name val="Arial"/>
      <charset val="1"/>
    </font>
    <font>
      <b/>
      <sz val="10"/>
      <color rgb="FF2D6A4F"/>
      <name val="Arial"/>
      <charset val="1"/>
    </font>
    <font>
      <sz val="10"/>
      <color rgb="FF495057"/>
      <name val="Arial"/>
      <charset val="1"/>
    </font>
    <font>
      <b/>
      <sz val="10"/>
      <color rgb="FF1B4332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B4332"/>
        <bgColor rgb="FF003300"/>
      </patternFill>
    </fill>
    <fill>
      <patternFill patternType="solid">
        <fgColor rgb="FFD8F3DC"/>
        <bgColor rgb="FFCCFFFF"/>
      </patternFill>
    </fill>
    <fill>
      <patternFill patternType="solid">
        <fgColor rgb="FF2D6A4F"/>
        <bgColor rgb="FF495057"/>
      </patternFill>
    </fill>
    <fill>
      <patternFill patternType="solid">
        <fgColor rgb="FF495057"/>
        <bgColor rgb="FF2D6A4F"/>
      </patternFill>
    </fill>
    <fill>
      <patternFill patternType="solid">
        <fgColor rgb="FFF8F9FA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95D5B2"/>
        <bgColor rgb="FFCCCCCC"/>
      </patternFill>
    </fill>
    <fill>
      <patternFill patternType="solid">
        <fgColor rgb="FF52B788"/>
        <bgColor rgb="FF33CCCC"/>
      </patternFill>
    </fill>
    <fill>
      <patternFill patternType="solid">
        <fgColor rgb="FFF4845F"/>
        <bgColor rgb="FFE76F51"/>
      </patternFill>
    </fill>
    <fill>
      <patternFill patternType="solid">
        <fgColor rgb="FFE76F51"/>
        <bgColor rgb="FFF4845F"/>
      </patternFill>
    </fill>
    <fill>
      <patternFill patternType="solid">
        <fgColor rgb="FF6C757D"/>
        <bgColor rgb="FF878787"/>
      </patternFill>
    </fill>
    <fill>
      <patternFill patternType="solid">
        <fgColor rgb="FF993C1D"/>
        <bgColor rgb="FF993366"/>
      </patternFill>
    </fill>
    <fill>
      <patternFill patternType="solid">
        <fgColor rgb="FFBA7517"/>
        <bgColor rgb="FFE76F51"/>
      </patternFill>
    </fill>
    <fill>
      <patternFill patternType="solid">
        <fgColor rgb="FF534AB7"/>
        <bgColor rgb="FF495057"/>
      </patternFill>
    </fill>
    <fill>
      <patternFill patternType="solid">
        <fgColor rgb="FF888780"/>
        <bgColor rgb="FF87878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9" fillId="3" borderId="2" xfId="0" applyFont="1" applyFill="1" applyBorder="1" applyAlignment="1">
      <alignment horizontal="left" vertical="top" wrapText="1" indent="1"/>
    </xf>
    <xf numFmtId="0" fontId="18" fillId="6" borderId="2" xfId="0" applyFont="1" applyFill="1" applyBorder="1" applyAlignment="1">
      <alignment horizontal="left" vertical="top" wrapText="1" indent="1"/>
    </xf>
    <xf numFmtId="0" fontId="5" fillId="4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4" fontId="6" fillId="6" borderId="1" xfId="0" applyNumberFormat="1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4" fontId="6" fillId="7" borderId="1" xfId="0" applyNumberFormat="1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center" vertical="center"/>
    </xf>
    <xf numFmtId="2" fontId="6" fillId="7" borderId="1" xfId="0" applyNumberFormat="1" applyFont="1" applyFill="1" applyBorder="1" applyAlignment="1">
      <alignment horizontal="center" vertical="center"/>
    </xf>
    <xf numFmtId="2" fontId="7" fillId="7" borderId="1" xfId="0" applyNumberFormat="1" applyFont="1" applyFill="1" applyBorder="1" applyAlignment="1">
      <alignment horizontal="center" vertical="center"/>
    </xf>
    <xf numFmtId="2" fontId="7" fillId="6" borderId="1" xfId="0" applyNumberFormat="1" applyFont="1" applyFill="1" applyBorder="1" applyAlignment="1">
      <alignment horizontal="center" vertical="center"/>
    </xf>
    <xf numFmtId="2" fontId="8" fillId="7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/>
    </xf>
    <xf numFmtId="4" fontId="9" fillId="8" borderId="1" xfId="0" applyNumberFormat="1" applyFont="1" applyFill="1" applyBorder="1" applyAlignment="1">
      <alignment horizontal="center" vertical="center"/>
    </xf>
    <xf numFmtId="3" fontId="9" fillId="8" borderId="1" xfId="0" applyNumberFormat="1" applyFont="1" applyFill="1" applyBorder="1" applyAlignment="1">
      <alignment horizontal="center" vertical="center"/>
    </xf>
    <xf numFmtId="2" fontId="9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/>
    <xf numFmtId="0" fontId="9" fillId="6" borderId="1" xfId="0" applyFont="1" applyFill="1" applyBorder="1"/>
    <xf numFmtId="4" fontId="11" fillId="0" borderId="1" xfId="0" applyNumberFormat="1" applyFont="1" applyBorder="1" applyAlignment="1">
      <alignment horizontal="center"/>
    </xf>
    <xf numFmtId="4" fontId="12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4" fontId="13" fillId="3" borderId="1" xfId="0" applyNumberFormat="1" applyFont="1" applyFill="1" applyBorder="1" applyAlignment="1">
      <alignment horizontal="center"/>
    </xf>
    <xf numFmtId="4" fontId="12" fillId="3" borderId="1" xfId="0" applyNumberFormat="1" applyFont="1" applyFill="1" applyBorder="1" applyAlignment="1">
      <alignment horizontal="center"/>
    </xf>
    <xf numFmtId="4" fontId="7" fillId="3" borderId="1" xfId="0" applyNumberFormat="1" applyFont="1" applyFill="1" applyBorder="1" applyAlignment="1">
      <alignment horizontal="center"/>
    </xf>
    <xf numFmtId="0" fontId="9" fillId="7" borderId="1" xfId="0" applyFont="1" applyFill="1" applyBorder="1" applyAlignment="1">
      <alignment horizontal="left"/>
    </xf>
    <xf numFmtId="164" fontId="11" fillId="7" borderId="1" xfId="0" applyNumberFormat="1" applyFont="1" applyFill="1" applyBorder="1" applyAlignment="1">
      <alignment horizontal="center"/>
    </xf>
    <xf numFmtId="4" fontId="13" fillId="7" borderId="1" xfId="0" applyNumberFormat="1" applyFont="1" applyFill="1" applyBorder="1" applyAlignment="1">
      <alignment horizontal="center"/>
    </xf>
    <xf numFmtId="4" fontId="12" fillId="7" borderId="1" xfId="0" applyNumberFormat="1" applyFont="1" applyFill="1" applyBorder="1" applyAlignment="1">
      <alignment horizontal="center"/>
    </xf>
    <xf numFmtId="4" fontId="7" fillId="7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left" vertical="center"/>
    </xf>
    <xf numFmtId="4" fontId="6" fillId="3" borderId="1" xfId="0" applyNumberFormat="1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10" fontId="9" fillId="8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/>
    </xf>
    <xf numFmtId="10" fontId="9" fillId="3" borderId="1" xfId="0" applyNumberFormat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" fontId="9" fillId="3" borderId="1" xfId="0" applyNumberFormat="1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2D6A4F"/>
      <rgbColor rgb="FFCCCCCC"/>
      <rgbColor rgb="FF888780"/>
      <rgbColor rgb="FF9999FF"/>
      <rgbColor rgb="FF993366"/>
      <rgbColor rgb="FFF9F9F9"/>
      <rgbColor rgb="FFF8F9FA"/>
      <rgbColor rgb="FF660066"/>
      <rgbColor rgb="FFF4845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F99"/>
      <rgbColor rgb="FF95D5B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76F51"/>
      <rgbColor rgb="FF6C757D"/>
      <rgbColor rgb="FF878787"/>
      <rgbColor rgb="FF003366"/>
      <rgbColor rgb="FF52B788"/>
      <rgbColor rgb="FF003300"/>
      <rgbColor rgb="FF495057"/>
      <rgbColor rgb="FF993C1D"/>
      <rgbColor rgb="FF993366"/>
      <rgbColor rgb="FF534AB7"/>
      <rgbColor rgb="FF1B43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Revenue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Summary'!$B$8</c:f>
              <c:strCache>
                <c:ptCount val="1"/>
                <c:pt idx="0">
                  <c:v>Revenue (R$)</c:v>
                </c:pt>
              </c:strCache>
            </c:strRef>
          </c:tx>
          <c:spPr>
            <a:solidFill>
              <a:srgbClr val="2D6A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Summary'!$A$9:$A$28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'Executive Summary'!$B$9:$B$28</c:f>
              <c:numCache>
                <c:formatCode>#,##0.00</c:formatCode>
                <c:ptCount val="20"/>
                <c:pt idx="0">
                  <c:v>111798.36</c:v>
                </c:pt>
                <c:pt idx="1">
                  <c:v>234223.4</c:v>
                </c:pt>
                <c:pt idx="2">
                  <c:v>359198.85</c:v>
                </c:pt>
                <c:pt idx="3">
                  <c:v>340669.68</c:v>
                </c:pt>
                <c:pt idx="4">
                  <c:v>489338.25</c:v>
                </c:pt>
                <c:pt idx="5">
                  <c:v>421923.37</c:v>
                </c:pt>
                <c:pt idx="6">
                  <c:v>481604.52</c:v>
                </c:pt>
                <c:pt idx="7">
                  <c:v>554699.69999999995</c:v>
                </c:pt>
                <c:pt idx="8">
                  <c:v>607399.67000000004</c:v>
                </c:pt>
                <c:pt idx="9">
                  <c:v>648247.65</c:v>
                </c:pt>
                <c:pt idx="10">
                  <c:v>987765.37</c:v>
                </c:pt>
                <c:pt idx="11">
                  <c:v>726033.19</c:v>
                </c:pt>
                <c:pt idx="12">
                  <c:v>924645</c:v>
                </c:pt>
                <c:pt idx="13">
                  <c:v>826437.13</c:v>
                </c:pt>
                <c:pt idx="14">
                  <c:v>953356.25</c:v>
                </c:pt>
                <c:pt idx="15">
                  <c:v>973534.09</c:v>
                </c:pt>
                <c:pt idx="16">
                  <c:v>977544.69</c:v>
                </c:pt>
                <c:pt idx="17">
                  <c:v>856077.86</c:v>
                </c:pt>
                <c:pt idx="18">
                  <c:v>867953.46</c:v>
                </c:pt>
                <c:pt idx="19">
                  <c:v>838576.64000000001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C-41A9-AF36-B5F246E4A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673739"/>
        <c:axId val="49256143"/>
      </c:barChart>
      <c:catAx>
        <c:axId val="446737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256143"/>
        <c:crosses val="autoZero"/>
        <c:auto val="1"/>
        <c:lblAlgn val="ctr"/>
        <c:lblOffset val="100"/>
        <c:noMultiLvlLbl val="0"/>
      </c:catAx>
      <c:valAx>
        <c:axId val="492561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6737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39960</xdr:rowOff>
    </xdr:from>
    <xdr:to>
      <xdr:col>5</xdr:col>
      <xdr:colOff>871200</xdr:colOff>
      <xdr:row>51</xdr:row>
      <xdr:rowOff>168840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99061</xdr:colOff>
      <xdr:row>3</xdr:row>
      <xdr:rowOff>60960</xdr:rowOff>
    </xdr:from>
    <xdr:to>
      <xdr:col>12</xdr:col>
      <xdr:colOff>419101</xdr:colOff>
      <xdr:row>20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2186A4-FD56-80A9-3912-5DF2F2B28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1" y="609600"/>
          <a:ext cx="7635240" cy="3181350"/>
        </a:xfrm>
        <a:prstGeom prst="rect">
          <a:avLst/>
        </a:prstGeom>
      </xdr:spPr>
    </xdr:pic>
    <xdr:clientData/>
  </xdr:twoCellAnchor>
  <xdr:twoCellAnchor editAs="oneCell">
    <xdr:from>
      <xdr:col>12</xdr:col>
      <xdr:colOff>510540</xdr:colOff>
      <xdr:row>2</xdr:row>
      <xdr:rowOff>7620</xdr:rowOff>
    </xdr:from>
    <xdr:to>
      <xdr:col>22</xdr:col>
      <xdr:colOff>510540</xdr:colOff>
      <xdr:row>20</xdr:row>
      <xdr:rowOff>175260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40FC55A-2495-A52F-634E-E355964DE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5740" y="373380"/>
          <a:ext cx="6096000" cy="34594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274320</xdr:colOff>
      <xdr:row>19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2D05A3-30DB-566C-9332-4BA6A37B1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79920" cy="3489960"/>
        </a:xfrm>
        <a:prstGeom prst="rect">
          <a:avLst/>
        </a:prstGeom>
      </xdr:spPr>
    </xdr:pic>
    <xdr:clientData/>
  </xdr:twoCellAnchor>
  <xdr:twoCellAnchor editAs="oneCell">
    <xdr:from>
      <xdr:col>12</xdr:col>
      <xdr:colOff>22861</xdr:colOff>
      <xdr:row>0</xdr:row>
      <xdr:rowOff>0</xdr:rowOff>
    </xdr:from>
    <xdr:to>
      <xdr:col>22</xdr:col>
      <xdr:colOff>297181</xdr:colOff>
      <xdr:row>19</xdr:row>
      <xdr:rowOff>123953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794E12-C1E5-E766-201C-5C0A5AE09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1" y="0"/>
          <a:ext cx="6370320" cy="35986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502921</xdr:colOff>
      <xdr:row>1</xdr:row>
      <xdr:rowOff>7620</xdr:rowOff>
    </xdr:from>
    <xdr:to>
      <xdr:col>9</xdr:col>
      <xdr:colOff>53340</xdr:colOff>
      <xdr:row>25</xdr:row>
      <xdr:rowOff>45719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B2CE59-F913-071F-6DFE-82AAA65C0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1" y="190500"/>
          <a:ext cx="4427219" cy="4427219"/>
        </a:xfrm>
        <a:prstGeom prst="rect">
          <a:avLst/>
        </a:prstGeom>
      </xdr:spPr>
    </xdr:pic>
    <xdr:clientData/>
  </xdr:twoCellAnchor>
  <xdr:twoCellAnchor editAs="oneCell">
    <xdr:from>
      <xdr:col>10</xdr:col>
      <xdr:colOff>441961</xdr:colOff>
      <xdr:row>0</xdr:row>
      <xdr:rowOff>137160</xdr:rowOff>
    </xdr:from>
    <xdr:to>
      <xdr:col>22</xdr:col>
      <xdr:colOff>7621</xdr:colOff>
      <xdr:row>25</xdr:row>
      <xdr:rowOff>146408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997C05-D6F6-87E7-E30C-1572F5DFF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7961" y="137160"/>
          <a:ext cx="6880860" cy="45812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304119</xdr:colOff>
      <xdr:row>24</xdr:row>
      <xdr:rowOff>182502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38AFE8-B303-CBF4-5C73-BF49476DF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28919" cy="4571622"/>
        </a:xfrm>
        <a:prstGeom prst="rect">
          <a:avLst/>
        </a:prstGeom>
      </xdr:spPr>
    </xdr:pic>
    <xdr:clientData/>
  </xdr:twoCellAnchor>
  <xdr:twoCellAnchor editAs="oneCell">
    <xdr:from>
      <xdr:col>11</xdr:col>
      <xdr:colOff>60960</xdr:colOff>
      <xdr:row>0</xdr:row>
      <xdr:rowOff>38100</xdr:rowOff>
    </xdr:from>
    <xdr:to>
      <xdr:col>24</xdr:col>
      <xdr:colOff>365079</xdr:colOff>
      <xdr:row>25</xdr:row>
      <xdr:rowOff>37722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7C5879-34E4-D063-E4BB-7375692EA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6560" y="38100"/>
          <a:ext cx="8228919" cy="45716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6A4F"/>
  </sheetPr>
  <dimension ref="A1:H29"/>
  <sheetViews>
    <sheetView zoomScaleNormal="100" workbookViewId="0">
      <selection sqref="A1:H1"/>
    </sheetView>
  </sheetViews>
  <sheetFormatPr defaultColWidth="8.6640625" defaultRowHeight="14.4" x14ac:dyDescent="0.3"/>
  <cols>
    <col min="1" max="6" width="20" customWidth="1"/>
  </cols>
  <sheetData>
    <row r="1" spans="1:8" ht="39.7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</row>
    <row r="2" spans="1:8" ht="19.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</row>
    <row r="4" spans="1:8" ht="21.75" customHeight="1" x14ac:dyDescent="0.3">
      <c r="A4" s="12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</row>
    <row r="5" spans="1:8" ht="31.5" customHeight="1" x14ac:dyDescent="0.3">
      <c r="A5" s="13" t="s">
        <v>8</v>
      </c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</row>
    <row r="7" spans="1:8" ht="19.5" customHeight="1" x14ac:dyDescent="0.3">
      <c r="A7" s="9" t="s">
        <v>14</v>
      </c>
      <c r="B7" s="9"/>
      <c r="C7" s="9"/>
      <c r="D7" s="9"/>
      <c r="E7" s="9"/>
      <c r="F7" s="9"/>
      <c r="G7" s="9"/>
      <c r="H7" s="9"/>
    </row>
    <row r="8" spans="1:8" ht="27.6" x14ac:dyDescent="0.3">
      <c r="A8" s="14" t="s">
        <v>15</v>
      </c>
      <c r="B8" s="14" t="s">
        <v>16</v>
      </c>
      <c r="C8" s="14" t="s">
        <v>17</v>
      </c>
      <c r="D8" s="14" t="s">
        <v>18</v>
      </c>
      <c r="E8" s="14" t="s">
        <v>19</v>
      </c>
      <c r="F8" s="14" t="s">
        <v>20</v>
      </c>
    </row>
    <row r="9" spans="1:8" x14ac:dyDescent="0.3">
      <c r="A9" s="15" t="s">
        <v>21</v>
      </c>
      <c r="B9" s="16">
        <v>111798.36</v>
      </c>
      <c r="C9" s="17">
        <v>750</v>
      </c>
      <c r="D9" s="16">
        <v>149.06448</v>
      </c>
      <c r="E9" s="18">
        <v>4.21</v>
      </c>
      <c r="F9" s="18"/>
    </row>
    <row r="10" spans="1:8" x14ac:dyDescent="0.3">
      <c r="A10" s="19" t="s">
        <v>22</v>
      </c>
      <c r="B10" s="20">
        <v>234223.4</v>
      </c>
      <c r="C10" s="21">
        <v>1653</v>
      </c>
      <c r="D10" s="20">
        <v>141.69594676346</v>
      </c>
      <c r="E10" s="22">
        <v>4.21</v>
      </c>
      <c r="F10" s="23">
        <v>109.51</v>
      </c>
    </row>
    <row r="11" spans="1:8" x14ac:dyDescent="0.3">
      <c r="A11" s="15" t="s">
        <v>23</v>
      </c>
      <c r="B11" s="16">
        <v>359198.85</v>
      </c>
      <c r="C11" s="17">
        <v>2546</v>
      </c>
      <c r="D11" s="16">
        <v>141.08360172820099</v>
      </c>
      <c r="E11" s="18">
        <v>4.1900000000000004</v>
      </c>
      <c r="F11" s="24">
        <v>53.36</v>
      </c>
    </row>
    <row r="12" spans="1:8" x14ac:dyDescent="0.3">
      <c r="A12" s="19" t="s">
        <v>24</v>
      </c>
      <c r="B12" s="20">
        <v>340669.68</v>
      </c>
      <c r="C12" s="21">
        <v>2303</v>
      </c>
      <c r="D12" s="20">
        <v>147.92430742509799</v>
      </c>
      <c r="E12" s="22">
        <v>4.1399999999999997</v>
      </c>
      <c r="F12" s="25">
        <v>-5.16</v>
      </c>
    </row>
    <row r="13" spans="1:8" x14ac:dyDescent="0.3">
      <c r="A13" s="15" t="s">
        <v>25</v>
      </c>
      <c r="B13" s="16">
        <v>489338.25</v>
      </c>
      <c r="C13" s="17">
        <v>3546</v>
      </c>
      <c r="D13" s="16">
        <v>137.99725042301199</v>
      </c>
      <c r="E13" s="18">
        <v>4.25</v>
      </c>
      <c r="F13" s="24">
        <v>43.64</v>
      </c>
    </row>
    <row r="14" spans="1:8" x14ac:dyDescent="0.3">
      <c r="A14" s="19" t="s">
        <v>26</v>
      </c>
      <c r="B14" s="20">
        <v>421923.37</v>
      </c>
      <c r="C14" s="21">
        <v>3135</v>
      </c>
      <c r="D14" s="20">
        <v>134.58480701754399</v>
      </c>
      <c r="E14" s="22">
        <v>4.2300000000000004</v>
      </c>
      <c r="F14" s="25">
        <v>-13.78</v>
      </c>
    </row>
    <row r="15" spans="1:8" x14ac:dyDescent="0.3">
      <c r="A15" s="15" t="s">
        <v>27</v>
      </c>
      <c r="B15" s="16">
        <v>481604.52</v>
      </c>
      <c r="C15" s="17">
        <v>3872</v>
      </c>
      <c r="D15" s="16">
        <v>124.381332644628</v>
      </c>
      <c r="E15" s="18">
        <v>4.2699999999999996</v>
      </c>
      <c r="F15" s="24">
        <v>14.15</v>
      </c>
    </row>
    <row r="16" spans="1:8" x14ac:dyDescent="0.3">
      <c r="A16" s="19" t="s">
        <v>28</v>
      </c>
      <c r="B16" s="20">
        <v>554699.69999999995</v>
      </c>
      <c r="C16" s="21">
        <v>4193</v>
      </c>
      <c r="D16" s="20">
        <v>132.29184354877199</v>
      </c>
      <c r="E16" s="22">
        <v>4.32</v>
      </c>
      <c r="F16" s="23">
        <v>15.18</v>
      </c>
    </row>
    <row r="17" spans="1:6" x14ac:dyDescent="0.3">
      <c r="A17" s="15" t="s">
        <v>29</v>
      </c>
      <c r="B17" s="16">
        <v>607399.67000000004</v>
      </c>
      <c r="C17" s="17">
        <v>4150</v>
      </c>
      <c r="D17" s="16">
        <v>146.36136626506001</v>
      </c>
      <c r="E17" s="18">
        <v>4.2699999999999996</v>
      </c>
      <c r="F17" s="24">
        <v>9.5</v>
      </c>
    </row>
    <row r="18" spans="1:6" x14ac:dyDescent="0.3">
      <c r="A18" s="19" t="s">
        <v>30</v>
      </c>
      <c r="B18" s="20">
        <v>648247.65</v>
      </c>
      <c r="C18" s="21">
        <v>4478</v>
      </c>
      <c r="D18" s="20">
        <v>144.76276239392601</v>
      </c>
      <c r="E18" s="22">
        <v>4.21</v>
      </c>
      <c r="F18" s="23">
        <v>6.73</v>
      </c>
    </row>
    <row r="19" spans="1:6" x14ac:dyDescent="0.3">
      <c r="A19" s="15" t="s">
        <v>31</v>
      </c>
      <c r="B19" s="16">
        <v>987765.37</v>
      </c>
      <c r="C19" s="17">
        <v>7289</v>
      </c>
      <c r="D19" s="16">
        <v>135.51452462614901</v>
      </c>
      <c r="E19" s="18">
        <v>4</v>
      </c>
      <c r="F19" s="24">
        <v>52.37</v>
      </c>
    </row>
    <row r="20" spans="1:6" x14ac:dyDescent="0.3">
      <c r="A20" s="19" t="s">
        <v>32</v>
      </c>
      <c r="B20" s="20">
        <v>726033.19</v>
      </c>
      <c r="C20" s="21">
        <v>5513</v>
      </c>
      <c r="D20" s="20">
        <v>131.69475603119901</v>
      </c>
      <c r="E20" s="22">
        <v>4.0999999999999996</v>
      </c>
      <c r="F20" s="25">
        <v>-26.5</v>
      </c>
    </row>
    <row r="21" spans="1:6" x14ac:dyDescent="0.3">
      <c r="A21" s="15" t="s">
        <v>33</v>
      </c>
      <c r="B21" s="16">
        <v>924645</v>
      </c>
      <c r="C21" s="17">
        <v>7069</v>
      </c>
      <c r="D21" s="16">
        <v>130.80280096194701</v>
      </c>
      <c r="E21" s="18">
        <v>4.12</v>
      </c>
      <c r="F21" s="24">
        <v>27.36</v>
      </c>
    </row>
    <row r="22" spans="1:6" x14ac:dyDescent="0.3">
      <c r="A22" s="19" t="s">
        <v>34</v>
      </c>
      <c r="B22" s="20">
        <v>826437.13</v>
      </c>
      <c r="C22" s="21">
        <v>6555</v>
      </c>
      <c r="D22" s="20">
        <v>126.077365369947</v>
      </c>
      <c r="E22" s="22">
        <v>3.89</v>
      </c>
      <c r="F22" s="25">
        <v>-10.62</v>
      </c>
    </row>
    <row r="23" spans="1:6" x14ac:dyDescent="0.3">
      <c r="A23" s="15" t="s">
        <v>35</v>
      </c>
      <c r="B23" s="16">
        <v>953356.25</v>
      </c>
      <c r="C23" s="17">
        <v>7003</v>
      </c>
      <c r="D23" s="16">
        <v>136.135406254462</v>
      </c>
      <c r="E23" s="18">
        <v>3.82</v>
      </c>
      <c r="F23" s="24">
        <v>15.36</v>
      </c>
    </row>
    <row r="24" spans="1:6" x14ac:dyDescent="0.3">
      <c r="A24" s="19" t="s">
        <v>36</v>
      </c>
      <c r="B24" s="20">
        <v>973534.09</v>
      </c>
      <c r="C24" s="21">
        <v>6798</v>
      </c>
      <c r="D24" s="20">
        <v>143.20889820535501</v>
      </c>
      <c r="E24" s="22">
        <v>4.21</v>
      </c>
      <c r="F24" s="23">
        <v>2.12</v>
      </c>
    </row>
    <row r="25" spans="1:6" x14ac:dyDescent="0.3">
      <c r="A25" s="15" t="s">
        <v>37</v>
      </c>
      <c r="B25" s="16">
        <v>977544.69</v>
      </c>
      <c r="C25" s="17">
        <v>6749</v>
      </c>
      <c r="D25" s="16">
        <v>144.84289376203901</v>
      </c>
      <c r="E25" s="18">
        <v>4.24</v>
      </c>
      <c r="F25" s="24">
        <v>0.41</v>
      </c>
    </row>
    <row r="26" spans="1:6" x14ac:dyDescent="0.3">
      <c r="A26" s="19" t="s">
        <v>38</v>
      </c>
      <c r="B26" s="20">
        <v>856077.86</v>
      </c>
      <c r="C26" s="21">
        <v>6099</v>
      </c>
      <c r="D26" s="20">
        <v>140.3636432202</v>
      </c>
      <c r="E26" s="22">
        <v>4.3099999999999996</v>
      </c>
      <c r="F26" s="25">
        <v>-12.43</v>
      </c>
    </row>
    <row r="27" spans="1:6" x14ac:dyDescent="0.3">
      <c r="A27" s="15" t="s">
        <v>39</v>
      </c>
      <c r="B27" s="16">
        <v>867953.46</v>
      </c>
      <c r="C27" s="17">
        <v>6159</v>
      </c>
      <c r="D27" s="16">
        <v>140.924413054067</v>
      </c>
      <c r="E27" s="18">
        <v>4.32</v>
      </c>
      <c r="F27" s="24">
        <v>1.39</v>
      </c>
    </row>
    <row r="28" spans="1:6" x14ac:dyDescent="0.3">
      <c r="A28" s="19" t="s">
        <v>40</v>
      </c>
      <c r="B28" s="20">
        <v>838576.64000000001</v>
      </c>
      <c r="C28" s="21">
        <v>6351</v>
      </c>
      <c r="D28" s="20">
        <v>132.038519918123</v>
      </c>
      <c r="E28" s="22">
        <v>4.3099999999999996</v>
      </c>
      <c r="F28" s="25">
        <v>-3.38</v>
      </c>
    </row>
    <row r="29" spans="1:6" x14ac:dyDescent="0.3">
      <c r="A29" s="26" t="s">
        <v>41</v>
      </c>
      <c r="B29" s="27">
        <f>SUM(B9:B28)</f>
        <v>13181027.129999999</v>
      </c>
      <c r="C29" s="28">
        <f>SUM(C9:C28)</f>
        <v>96211</v>
      </c>
      <c r="D29" s="27">
        <f>AVERAGE(D9:D28)</f>
        <v>138.08754598065946</v>
      </c>
      <c r="E29" s="29">
        <f>AVERAGE(E9:E28)</f>
        <v>4.181</v>
      </c>
      <c r="F29" s="30"/>
    </row>
  </sheetData>
  <mergeCells count="3">
    <mergeCell ref="A1:H1"/>
    <mergeCell ref="A2:H2"/>
    <mergeCell ref="A7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4845F"/>
  </sheetPr>
  <dimension ref="A1:F36"/>
  <sheetViews>
    <sheetView zoomScaleNormal="100" workbookViewId="0">
      <selection sqref="A1:F1"/>
    </sheetView>
  </sheetViews>
  <sheetFormatPr defaultColWidth="8.6640625" defaultRowHeight="14.4" x14ac:dyDescent="0.3"/>
  <cols>
    <col min="1" max="1" width="30" customWidth="1"/>
    <col min="2" max="2" width="22" customWidth="1"/>
    <col min="3" max="3" width="18" customWidth="1"/>
    <col min="4" max="4" width="20" customWidth="1"/>
    <col min="5" max="5" width="22" customWidth="1"/>
    <col min="6" max="6" width="28" customWidth="1"/>
  </cols>
  <sheetData>
    <row r="1" spans="1:6" ht="36" customHeight="1" x14ac:dyDescent="0.3">
      <c r="A1" s="8" t="s">
        <v>42</v>
      </c>
      <c r="B1" s="8"/>
      <c r="C1" s="8"/>
      <c r="D1" s="8"/>
      <c r="E1" s="8"/>
      <c r="F1" s="8"/>
    </row>
    <row r="2" spans="1:6" ht="18" customHeight="1" x14ac:dyDescent="0.3">
      <c r="A2" s="7" t="s">
        <v>43</v>
      </c>
      <c r="B2" s="7"/>
      <c r="C2" s="7"/>
      <c r="D2" s="7"/>
      <c r="E2" s="7"/>
      <c r="F2" s="7"/>
    </row>
    <row r="4" spans="1:6" ht="15" customHeight="1" x14ac:dyDescent="0.3">
      <c r="A4" s="6" t="s">
        <v>44</v>
      </c>
      <c r="B4" s="6"/>
      <c r="C4" s="6"/>
    </row>
    <row r="5" spans="1:6" x14ac:dyDescent="0.3">
      <c r="A5" s="31" t="s">
        <v>45</v>
      </c>
      <c r="B5" s="32">
        <v>4811</v>
      </c>
    </row>
    <row r="6" spans="1:6" x14ac:dyDescent="0.3">
      <c r="A6" s="31" t="s">
        <v>46</v>
      </c>
      <c r="B6" s="32">
        <v>137.04</v>
      </c>
    </row>
    <row r="7" spans="1:6" x14ac:dyDescent="0.3">
      <c r="A7" s="31" t="s">
        <v>47</v>
      </c>
      <c r="B7" s="33">
        <f>B5*B6</f>
        <v>659299.43999999994</v>
      </c>
    </row>
    <row r="8" spans="1:6" x14ac:dyDescent="0.3">
      <c r="A8" s="31" t="s">
        <v>48</v>
      </c>
      <c r="B8" s="33">
        <f>B7*12</f>
        <v>7911593.2799999993</v>
      </c>
    </row>
    <row r="9" spans="1:6" x14ac:dyDescent="0.3">
      <c r="A9" s="31" t="s">
        <v>49</v>
      </c>
      <c r="B9" s="32">
        <v>93358</v>
      </c>
    </row>
    <row r="10" spans="1:6" x14ac:dyDescent="0.3">
      <c r="A10" s="31" t="s">
        <v>50</v>
      </c>
      <c r="B10" s="32">
        <v>3</v>
      </c>
    </row>
    <row r="12" spans="1:6" ht="19.5" customHeight="1" x14ac:dyDescent="0.3">
      <c r="A12" s="5" t="s">
        <v>51</v>
      </c>
      <c r="B12" s="5"/>
      <c r="C12" s="5"/>
      <c r="D12" s="5"/>
      <c r="E12" s="5"/>
      <c r="F12" s="5"/>
    </row>
    <row r="13" spans="1:6" ht="27.6" x14ac:dyDescent="0.3">
      <c r="A13" s="14" t="s">
        <v>52</v>
      </c>
      <c r="B13" s="14" t="s">
        <v>53</v>
      </c>
      <c r="C13" s="14" t="s">
        <v>54</v>
      </c>
      <c r="D13" s="14" t="s">
        <v>55</v>
      </c>
      <c r="E13" s="14" t="s">
        <v>56</v>
      </c>
      <c r="F13" s="14" t="s">
        <v>57</v>
      </c>
    </row>
    <row r="14" spans="1:6" x14ac:dyDescent="0.3">
      <c r="A14" s="34" t="s">
        <v>58</v>
      </c>
      <c r="B14" s="35">
        <v>0.05</v>
      </c>
      <c r="C14" s="35">
        <v>0.02</v>
      </c>
      <c r="D14" s="36">
        <f>($B$5*(1+B14))*($B$6*(1+C14))</f>
        <v>706109.70024000003</v>
      </c>
      <c r="E14" s="37">
        <f>D14*12</f>
        <v>8473316.40288</v>
      </c>
      <c r="F14" s="38">
        <f>E14-$B$8</f>
        <v>561723.12288000062</v>
      </c>
    </row>
    <row r="15" spans="1:6" x14ac:dyDescent="0.3">
      <c r="A15" s="39" t="s">
        <v>59</v>
      </c>
      <c r="B15" s="40">
        <v>0.1</v>
      </c>
      <c r="C15" s="40">
        <v>0.05</v>
      </c>
      <c r="D15" s="41">
        <f>($B$5*(1+B15))*($B$6*(1+C15))</f>
        <v>761490.85320000001</v>
      </c>
      <c r="E15" s="42">
        <f>D15*12</f>
        <v>9137890.2384000011</v>
      </c>
      <c r="F15" s="43">
        <f>E15-$B$8</f>
        <v>1226296.9584000017</v>
      </c>
    </row>
    <row r="16" spans="1:6" x14ac:dyDescent="0.3">
      <c r="A16" s="34" t="s">
        <v>60</v>
      </c>
      <c r="B16" s="35">
        <v>0.2</v>
      </c>
      <c r="C16" s="35">
        <v>0.1</v>
      </c>
      <c r="D16" s="36">
        <f>($B$5*(1+B16))*($B$6*(1+C16))</f>
        <v>870275.26079999993</v>
      </c>
      <c r="E16" s="37">
        <f>D16*12</f>
        <v>10443303.1296</v>
      </c>
      <c r="F16" s="38">
        <f>E16-$B$8</f>
        <v>2531709.8496000003</v>
      </c>
    </row>
    <row r="17" spans="1:6" x14ac:dyDescent="0.3">
      <c r="A17" s="39" t="s">
        <v>61</v>
      </c>
      <c r="B17" s="40">
        <v>0.35</v>
      </c>
      <c r="C17" s="40">
        <v>0.15</v>
      </c>
      <c r="D17" s="41">
        <f>($B$5*(1+B17))*($B$6*(1+C17))</f>
        <v>1023562.3805999999</v>
      </c>
      <c r="E17" s="42">
        <f>D17*12</f>
        <v>12282748.567199999</v>
      </c>
      <c r="F17" s="43">
        <f>E17-$B$8</f>
        <v>4371155.2872000001</v>
      </c>
    </row>
    <row r="20" spans="1:6" x14ac:dyDescent="0.3">
      <c r="A20" s="5" t="s">
        <v>62</v>
      </c>
      <c r="B20" s="5"/>
      <c r="C20" s="5"/>
      <c r="D20" s="5"/>
    </row>
    <row r="21" spans="1:6" ht="27.6" x14ac:dyDescent="0.3">
      <c r="A21" s="14" t="s">
        <v>63</v>
      </c>
      <c r="B21" s="14" t="s">
        <v>64</v>
      </c>
      <c r="C21" s="14" t="s">
        <v>65</v>
      </c>
      <c r="D21" s="14" t="s">
        <v>66</v>
      </c>
    </row>
    <row r="22" spans="1:6" x14ac:dyDescent="0.3">
      <c r="A22" s="44" t="s">
        <v>67</v>
      </c>
      <c r="B22" s="45">
        <v>1232074.1200000001</v>
      </c>
      <c r="C22" s="46">
        <v>12.21</v>
      </c>
      <c r="D22" s="46">
        <v>0.1221</v>
      </c>
    </row>
    <row r="23" spans="1:6" x14ac:dyDescent="0.3">
      <c r="A23" s="19" t="s">
        <v>68</v>
      </c>
      <c r="B23" s="20">
        <v>1163585.3500000001</v>
      </c>
      <c r="C23" s="47">
        <v>11.53</v>
      </c>
      <c r="D23" s="47">
        <v>0.23730000000000001</v>
      </c>
    </row>
    <row r="24" spans="1:6" x14ac:dyDescent="0.3">
      <c r="A24" s="44" t="s">
        <v>69</v>
      </c>
      <c r="B24" s="45">
        <v>1022202.47</v>
      </c>
      <c r="C24" s="46">
        <v>10.130000000000001</v>
      </c>
      <c r="D24" s="46">
        <v>0.33860000000000001</v>
      </c>
    </row>
    <row r="25" spans="1:6" x14ac:dyDescent="0.3">
      <c r="A25" s="19" t="s">
        <v>70</v>
      </c>
      <c r="B25" s="20">
        <v>956122.87</v>
      </c>
      <c r="C25" s="47">
        <v>9.4700000000000006</v>
      </c>
      <c r="D25" s="47">
        <v>0.43330000000000002</v>
      </c>
    </row>
    <row r="26" spans="1:6" x14ac:dyDescent="0.3">
      <c r="A26" s="44" t="s">
        <v>71</v>
      </c>
      <c r="B26" s="45">
        <v>887181.15</v>
      </c>
      <c r="C26" s="46">
        <v>8.7899999999999991</v>
      </c>
      <c r="D26" s="46">
        <v>0.5212</v>
      </c>
    </row>
    <row r="27" spans="1:6" x14ac:dyDescent="0.3">
      <c r="A27" s="19" t="s">
        <v>72</v>
      </c>
      <c r="B27" s="20">
        <v>715568.48</v>
      </c>
      <c r="C27" s="47">
        <v>7.09</v>
      </c>
      <c r="D27" s="47">
        <v>0.59209999999999996</v>
      </c>
    </row>
    <row r="28" spans="1:6" x14ac:dyDescent="0.3">
      <c r="A28" s="44" t="s">
        <v>73</v>
      </c>
      <c r="B28" s="45">
        <v>617564.75</v>
      </c>
      <c r="C28" s="46">
        <v>6.12</v>
      </c>
      <c r="D28" s="46">
        <v>0.65329999999999999</v>
      </c>
    </row>
    <row r="29" spans="1:6" x14ac:dyDescent="0.3">
      <c r="A29" s="19" t="s">
        <v>74</v>
      </c>
      <c r="B29" s="20">
        <v>611226.51</v>
      </c>
      <c r="C29" s="47">
        <v>6.06</v>
      </c>
      <c r="D29" s="47">
        <v>0.71379999999999999</v>
      </c>
    </row>
    <row r="30" spans="1:6" x14ac:dyDescent="0.3">
      <c r="A30" s="44" t="s">
        <v>75</v>
      </c>
      <c r="B30" s="45">
        <v>578997</v>
      </c>
      <c r="C30" s="46">
        <v>5.74</v>
      </c>
      <c r="D30" s="46">
        <v>0.7712</v>
      </c>
    </row>
    <row r="31" spans="1:6" x14ac:dyDescent="0.3">
      <c r="A31" s="19" t="s">
        <v>76</v>
      </c>
      <c r="B31" s="20">
        <v>470924.13</v>
      </c>
      <c r="C31" s="47">
        <v>4.67</v>
      </c>
      <c r="D31" s="48">
        <v>0.81779999999999997</v>
      </c>
    </row>
    <row r="32" spans="1:6" x14ac:dyDescent="0.3">
      <c r="A32" s="44" t="s">
        <v>77</v>
      </c>
      <c r="B32" s="45">
        <v>470696.59</v>
      </c>
      <c r="C32" s="46">
        <v>4.66</v>
      </c>
      <c r="D32" s="48">
        <v>0.86450000000000005</v>
      </c>
    </row>
    <row r="33" spans="1:4" x14ac:dyDescent="0.3">
      <c r="A33" s="19" t="s">
        <v>78</v>
      </c>
      <c r="B33" s="20">
        <v>399829.2</v>
      </c>
      <c r="C33" s="47">
        <v>3.96</v>
      </c>
      <c r="D33" s="48">
        <v>0.90410000000000001</v>
      </c>
    </row>
    <row r="34" spans="1:4" x14ac:dyDescent="0.3">
      <c r="A34" s="44" t="s">
        <v>79</v>
      </c>
      <c r="B34" s="45">
        <v>390742.63</v>
      </c>
      <c r="C34" s="46">
        <v>3.87</v>
      </c>
      <c r="D34" s="48">
        <v>0.94279999999999997</v>
      </c>
    </row>
    <row r="35" spans="1:4" x14ac:dyDescent="0.3">
      <c r="A35" s="19" t="s">
        <v>80</v>
      </c>
      <c r="B35" s="20">
        <v>310120.25</v>
      </c>
      <c r="C35" s="47">
        <v>3.07</v>
      </c>
      <c r="D35" s="48">
        <v>0.97350000000000003</v>
      </c>
    </row>
    <row r="36" spans="1:4" x14ac:dyDescent="0.3">
      <c r="A36" s="44" t="s">
        <v>81</v>
      </c>
      <c r="B36" s="45">
        <v>267352.34000000003</v>
      </c>
      <c r="C36" s="46">
        <v>2.65</v>
      </c>
      <c r="D36" s="48">
        <v>1</v>
      </c>
    </row>
  </sheetData>
  <mergeCells count="5">
    <mergeCell ref="A1:F1"/>
    <mergeCell ref="A2:F2"/>
    <mergeCell ref="A4:C4"/>
    <mergeCell ref="A12:F12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5D5B2"/>
  </sheetPr>
  <dimension ref="A1:G213"/>
  <sheetViews>
    <sheetView topLeftCell="A38" zoomScaleNormal="100" workbookViewId="0">
      <selection sqref="A1:G1"/>
    </sheetView>
  </sheetViews>
  <sheetFormatPr defaultColWidth="8.6640625" defaultRowHeight="14.4" x14ac:dyDescent="0.3"/>
  <cols>
    <col min="1" max="1" width="36" customWidth="1"/>
    <col min="2" max="2" width="18" customWidth="1"/>
    <col min="3" max="3" width="14" customWidth="1"/>
    <col min="4" max="4" width="18" customWidth="1"/>
    <col min="5" max="5" width="14" customWidth="1"/>
    <col min="6" max="6" width="22" customWidth="1"/>
    <col min="7" max="7" width="20" customWidth="1"/>
  </cols>
  <sheetData>
    <row r="1" spans="1:7" ht="36" customHeight="1" x14ac:dyDescent="0.3">
      <c r="A1" s="8" t="s">
        <v>82</v>
      </c>
      <c r="B1" s="8"/>
      <c r="C1" s="8"/>
      <c r="D1" s="8"/>
      <c r="E1" s="8"/>
      <c r="F1" s="8"/>
      <c r="G1" s="8"/>
    </row>
    <row r="3" spans="1:7" ht="15" customHeight="1" x14ac:dyDescent="0.3">
      <c r="A3" s="4" t="s">
        <v>83</v>
      </c>
      <c r="B3" s="4"/>
      <c r="C3" s="4"/>
      <c r="D3" s="4"/>
      <c r="E3" s="4"/>
      <c r="F3" s="4"/>
      <c r="G3" s="4"/>
    </row>
    <row r="4" spans="1:7" ht="41.4" x14ac:dyDescent="0.3">
      <c r="A4" s="14" t="s">
        <v>84</v>
      </c>
      <c r="B4" s="14" t="s">
        <v>85</v>
      </c>
      <c r="C4" s="14" t="s">
        <v>86</v>
      </c>
      <c r="D4" s="14" t="s">
        <v>87</v>
      </c>
      <c r="E4" s="14" t="s">
        <v>88</v>
      </c>
      <c r="F4" s="14" t="s">
        <v>64</v>
      </c>
      <c r="G4" s="14" t="s">
        <v>65</v>
      </c>
    </row>
    <row r="5" spans="1:7" x14ac:dyDescent="0.3">
      <c r="A5" s="49" t="s">
        <v>89</v>
      </c>
      <c r="B5" s="50">
        <v>7894</v>
      </c>
      <c r="C5" s="50">
        <v>93</v>
      </c>
      <c r="D5" s="51">
        <v>1.2</v>
      </c>
      <c r="E5" s="52">
        <v>298.45999999999998</v>
      </c>
      <c r="F5" s="52">
        <v>2356050.13</v>
      </c>
      <c r="G5" s="53">
        <v>0.1782</v>
      </c>
    </row>
    <row r="6" spans="1:7" x14ac:dyDescent="0.3">
      <c r="A6" s="54" t="s">
        <v>90</v>
      </c>
      <c r="B6" s="50">
        <v>31260</v>
      </c>
      <c r="C6" s="50">
        <v>175</v>
      </c>
      <c r="D6" s="51">
        <v>1.04</v>
      </c>
      <c r="E6" s="52">
        <v>188.56</v>
      </c>
      <c r="F6" s="52">
        <v>5894272.25</v>
      </c>
      <c r="G6" s="55">
        <v>0.44579999999999997</v>
      </c>
    </row>
    <row r="7" spans="1:7" x14ac:dyDescent="0.3">
      <c r="A7" s="56" t="s">
        <v>91</v>
      </c>
      <c r="B7" s="50">
        <v>38521</v>
      </c>
      <c r="C7" s="50">
        <v>264</v>
      </c>
      <c r="D7" s="51">
        <v>1.01</v>
      </c>
      <c r="E7" s="52">
        <v>109.14</v>
      </c>
      <c r="F7" s="52">
        <v>4204043.3600000003</v>
      </c>
      <c r="G7" s="55">
        <v>0.318</v>
      </c>
    </row>
    <row r="8" spans="1:7" x14ac:dyDescent="0.3">
      <c r="A8" s="57" t="s">
        <v>92</v>
      </c>
      <c r="B8" s="50">
        <v>12434</v>
      </c>
      <c r="C8" s="50">
        <v>355</v>
      </c>
      <c r="D8" s="51">
        <v>1</v>
      </c>
      <c r="E8" s="52">
        <v>52.94</v>
      </c>
      <c r="F8" s="52">
        <v>658202.27</v>
      </c>
      <c r="G8" s="53">
        <v>4.9799999999999997E-2</v>
      </c>
    </row>
    <row r="9" spans="1:7" x14ac:dyDescent="0.3">
      <c r="A9" s="58" t="s">
        <v>93</v>
      </c>
      <c r="B9" s="50">
        <v>3249</v>
      </c>
      <c r="C9" s="50">
        <v>437</v>
      </c>
      <c r="D9" s="51">
        <v>1</v>
      </c>
      <c r="E9" s="52">
        <v>33.53</v>
      </c>
      <c r="F9" s="52">
        <v>108930.1</v>
      </c>
      <c r="G9" s="53">
        <v>8.2000000000000007E-3</v>
      </c>
    </row>
    <row r="12" spans="1:7" ht="19.5" customHeight="1" x14ac:dyDescent="0.3">
      <c r="A12" s="5" t="s">
        <v>94</v>
      </c>
      <c r="B12" s="5"/>
      <c r="C12" s="5"/>
      <c r="D12" s="5"/>
      <c r="E12" s="5"/>
      <c r="F12" s="5"/>
      <c r="G12" s="5"/>
    </row>
    <row r="13" spans="1:7" x14ac:dyDescent="0.3">
      <c r="A13" s="14" t="s">
        <v>95</v>
      </c>
      <c r="B13" s="14" t="s">
        <v>96</v>
      </c>
      <c r="C13" s="14" t="s">
        <v>97</v>
      </c>
      <c r="D13" s="14" t="s">
        <v>98</v>
      </c>
      <c r="E13" s="14" t="s">
        <v>99</v>
      </c>
      <c r="F13" s="14" t="s">
        <v>84</v>
      </c>
      <c r="G13" s="14" t="s">
        <v>100</v>
      </c>
    </row>
    <row r="14" spans="1:7" x14ac:dyDescent="0.3">
      <c r="A14" s="15" t="s">
        <v>101</v>
      </c>
      <c r="B14" s="17">
        <v>334</v>
      </c>
      <c r="C14" s="17">
        <v>1</v>
      </c>
      <c r="D14" s="16">
        <v>13440</v>
      </c>
      <c r="E14" s="17">
        <v>8</v>
      </c>
      <c r="F14" s="59" t="s">
        <v>91</v>
      </c>
      <c r="G14" s="60" t="s">
        <v>102</v>
      </c>
    </row>
    <row r="15" spans="1:7" x14ac:dyDescent="0.3">
      <c r="A15" s="19" t="s">
        <v>103</v>
      </c>
      <c r="B15" s="21">
        <v>515</v>
      </c>
      <c r="C15" s="21">
        <v>2</v>
      </c>
      <c r="D15" s="20">
        <v>7388</v>
      </c>
      <c r="E15" s="21">
        <v>11</v>
      </c>
      <c r="F15" s="61" t="s">
        <v>90</v>
      </c>
      <c r="G15" s="62" t="s">
        <v>104</v>
      </c>
    </row>
    <row r="16" spans="1:7" x14ac:dyDescent="0.3">
      <c r="A16" s="15" t="s">
        <v>105</v>
      </c>
      <c r="B16" s="17">
        <v>46</v>
      </c>
      <c r="C16" s="17">
        <v>1</v>
      </c>
      <c r="D16" s="16">
        <v>7160</v>
      </c>
      <c r="E16" s="63">
        <v>13</v>
      </c>
      <c r="F16" s="64" t="s">
        <v>89</v>
      </c>
      <c r="G16" s="60" t="s">
        <v>106</v>
      </c>
    </row>
    <row r="17" spans="1:7" x14ac:dyDescent="0.3">
      <c r="A17" s="19" t="s">
        <v>107</v>
      </c>
      <c r="B17" s="21">
        <v>563</v>
      </c>
      <c r="C17" s="21">
        <v>1</v>
      </c>
      <c r="D17" s="20">
        <v>6735</v>
      </c>
      <c r="E17" s="21">
        <v>11</v>
      </c>
      <c r="F17" s="61" t="s">
        <v>90</v>
      </c>
      <c r="G17" s="62" t="s">
        <v>104</v>
      </c>
    </row>
    <row r="18" spans="1:7" x14ac:dyDescent="0.3">
      <c r="A18" s="15" t="s">
        <v>108</v>
      </c>
      <c r="B18" s="17">
        <v>35</v>
      </c>
      <c r="C18" s="17">
        <v>1</v>
      </c>
      <c r="D18" s="16">
        <v>6729</v>
      </c>
      <c r="E18" s="17">
        <v>12</v>
      </c>
      <c r="F18" s="65" t="s">
        <v>90</v>
      </c>
      <c r="G18" s="60" t="s">
        <v>109</v>
      </c>
    </row>
    <row r="19" spans="1:7" x14ac:dyDescent="0.3">
      <c r="A19" s="19" t="s">
        <v>110</v>
      </c>
      <c r="B19" s="21">
        <v>462</v>
      </c>
      <c r="C19" s="21">
        <v>1</v>
      </c>
      <c r="D19" s="20">
        <v>6499</v>
      </c>
      <c r="E19" s="21">
        <v>11</v>
      </c>
      <c r="F19" s="61" t="s">
        <v>90</v>
      </c>
      <c r="G19" s="62" t="s">
        <v>104</v>
      </c>
    </row>
    <row r="20" spans="1:7" x14ac:dyDescent="0.3">
      <c r="A20" s="15" t="s">
        <v>111</v>
      </c>
      <c r="B20" s="17">
        <v>279</v>
      </c>
      <c r="C20" s="17">
        <v>1</v>
      </c>
      <c r="D20" s="16">
        <v>5934.6</v>
      </c>
      <c r="E20" s="17">
        <v>9</v>
      </c>
      <c r="F20" s="59" t="s">
        <v>91</v>
      </c>
      <c r="G20" s="60" t="s">
        <v>112</v>
      </c>
    </row>
    <row r="21" spans="1:7" x14ac:dyDescent="0.3">
      <c r="A21" s="19" t="s">
        <v>113</v>
      </c>
      <c r="B21" s="21">
        <v>498</v>
      </c>
      <c r="C21" s="21">
        <v>1</v>
      </c>
      <c r="D21" s="20">
        <v>4690</v>
      </c>
      <c r="E21" s="21">
        <v>11</v>
      </c>
      <c r="F21" s="61" t="s">
        <v>90</v>
      </c>
      <c r="G21" s="62" t="s">
        <v>104</v>
      </c>
    </row>
    <row r="22" spans="1:7" x14ac:dyDescent="0.3">
      <c r="A22" s="15" t="s">
        <v>114</v>
      </c>
      <c r="B22" s="17">
        <v>69</v>
      </c>
      <c r="C22" s="17">
        <v>1</v>
      </c>
      <c r="D22" s="16">
        <v>4590</v>
      </c>
      <c r="E22" s="17">
        <v>12</v>
      </c>
      <c r="F22" s="65" t="s">
        <v>90</v>
      </c>
      <c r="G22" s="60" t="s">
        <v>109</v>
      </c>
    </row>
    <row r="23" spans="1:7" x14ac:dyDescent="0.3">
      <c r="A23" s="19" t="s">
        <v>115</v>
      </c>
      <c r="B23" s="21">
        <v>90</v>
      </c>
      <c r="C23" s="21">
        <v>1</v>
      </c>
      <c r="D23" s="20">
        <v>4400</v>
      </c>
      <c r="E23" s="63">
        <v>14</v>
      </c>
      <c r="F23" s="66" t="s">
        <v>89</v>
      </c>
      <c r="G23" s="62" t="s">
        <v>116</v>
      </c>
    </row>
    <row r="24" spans="1:7" x14ac:dyDescent="0.3">
      <c r="A24" s="15" t="s">
        <v>117</v>
      </c>
      <c r="B24" s="17">
        <v>26</v>
      </c>
      <c r="C24" s="17">
        <v>1</v>
      </c>
      <c r="D24" s="16">
        <v>4399.87</v>
      </c>
      <c r="E24" s="63">
        <v>15</v>
      </c>
      <c r="F24" s="64" t="s">
        <v>89</v>
      </c>
      <c r="G24" s="60" t="s">
        <v>118</v>
      </c>
    </row>
    <row r="25" spans="1:7" x14ac:dyDescent="0.3">
      <c r="A25" s="19" t="s">
        <v>119</v>
      </c>
      <c r="B25" s="21">
        <v>154</v>
      </c>
      <c r="C25" s="21">
        <v>1</v>
      </c>
      <c r="D25" s="20">
        <v>4099.99</v>
      </c>
      <c r="E25" s="63">
        <v>14</v>
      </c>
      <c r="F25" s="66" t="s">
        <v>89</v>
      </c>
      <c r="G25" s="62" t="s">
        <v>120</v>
      </c>
    </row>
    <row r="26" spans="1:7" x14ac:dyDescent="0.3">
      <c r="A26" s="15" t="s">
        <v>121</v>
      </c>
      <c r="B26" s="17">
        <v>22</v>
      </c>
      <c r="C26" s="17">
        <v>4</v>
      </c>
      <c r="D26" s="16">
        <v>4080</v>
      </c>
      <c r="E26" s="63">
        <v>15</v>
      </c>
      <c r="F26" s="64" t="s">
        <v>89</v>
      </c>
      <c r="G26" s="60" t="s">
        <v>118</v>
      </c>
    </row>
    <row r="27" spans="1:7" x14ac:dyDescent="0.3">
      <c r="A27" s="19" t="s">
        <v>122</v>
      </c>
      <c r="B27" s="21">
        <v>32</v>
      </c>
      <c r="C27" s="21">
        <v>1</v>
      </c>
      <c r="D27" s="20">
        <v>4059</v>
      </c>
      <c r="E27" s="63">
        <v>14</v>
      </c>
      <c r="F27" s="66" t="s">
        <v>89</v>
      </c>
      <c r="G27" s="62" t="s">
        <v>116</v>
      </c>
    </row>
    <row r="28" spans="1:7" x14ac:dyDescent="0.3">
      <c r="A28" s="15" t="s">
        <v>123</v>
      </c>
      <c r="B28" s="17">
        <v>529</v>
      </c>
      <c r="C28" s="17">
        <v>1</v>
      </c>
      <c r="D28" s="16">
        <v>3999.9</v>
      </c>
      <c r="E28" s="17">
        <v>7</v>
      </c>
      <c r="F28" s="59" t="s">
        <v>91</v>
      </c>
      <c r="G28" s="60" t="s">
        <v>124</v>
      </c>
    </row>
    <row r="29" spans="1:7" x14ac:dyDescent="0.3">
      <c r="A29" s="19" t="s">
        <v>125</v>
      </c>
      <c r="B29" s="21">
        <v>498</v>
      </c>
      <c r="C29" s="21">
        <v>1</v>
      </c>
      <c r="D29" s="20">
        <v>3999</v>
      </c>
      <c r="E29" s="21">
        <v>11</v>
      </c>
      <c r="F29" s="61" t="s">
        <v>90</v>
      </c>
      <c r="G29" s="62" t="s">
        <v>104</v>
      </c>
    </row>
    <row r="30" spans="1:7" x14ac:dyDescent="0.3">
      <c r="A30" s="15" t="s">
        <v>126</v>
      </c>
      <c r="B30" s="17">
        <v>571</v>
      </c>
      <c r="C30" s="17">
        <v>1</v>
      </c>
      <c r="D30" s="16">
        <v>3980</v>
      </c>
      <c r="E30" s="17">
        <v>8</v>
      </c>
      <c r="F30" s="59" t="s">
        <v>91</v>
      </c>
      <c r="G30" s="60" t="s">
        <v>127</v>
      </c>
    </row>
    <row r="31" spans="1:7" x14ac:dyDescent="0.3">
      <c r="A31" s="19" t="s">
        <v>128</v>
      </c>
      <c r="B31" s="21">
        <v>107</v>
      </c>
      <c r="C31" s="21">
        <v>1</v>
      </c>
      <c r="D31" s="20">
        <v>3930</v>
      </c>
      <c r="E31" s="63">
        <v>14</v>
      </c>
      <c r="F31" s="66" t="s">
        <v>89</v>
      </c>
      <c r="G31" s="62" t="s">
        <v>120</v>
      </c>
    </row>
    <row r="32" spans="1:7" x14ac:dyDescent="0.3">
      <c r="A32" s="15" t="s">
        <v>129</v>
      </c>
      <c r="B32" s="17">
        <v>86</v>
      </c>
      <c r="C32" s="17">
        <v>1</v>
      </c>
      <c r="D32" s="16">
        <v>3899</v>
      </c>
      <c r="E32" s="17">
        <v>12</v>
      </c>
      <c r="F32" s="65" t="s">
        <v>90</v>
      </c>
      <c r="G32" s="60" t="s">
        <v>109</v>
      </c>
    </row>
    <row r="33" spans="1:7" x14ac:dyDescent="0.3">
      <c r="A33" s="19" t="s">
        <v>130</v>
      </c>
      <c r="B33" s="21">
        <v>161</v>
      </c>
      <c r="C33" s="21">
        <v>1</v>
      </c>
      <c r="D33" s="20">
        <v>3700</v>
      </c>
      <c r="E33" s="21">
        <v>11</v>
      </c>
      <c r="F33" s="61" t="s">
        <v>90</v>
      </c>
      <c r="G33" s="62" t="s">
        <v>131</v>
      </c>
    </row>
    <row r="34" spans="1:7" x14ac:dyDescent="0.3">
      <c r="A34" s="15" t="s">
        <v>132</v>
      </c>
      <c r="B34" s="17">
        <v>566</v>
      </c>
      <c r="C34" s="17">
        <v>1</v>
      </c>
      <c r="D34" s="16">
        <v>3699.99</v>
      </c>
      <c r="E34" s="17">
        <v>8</v>
      </c>
      <c r="F34" s="59" t="s">
        <v>91</v>
      </c>
      <c r="G34" s="60" t="s">
        <v>127</v>
      </c>
    </row>
    <row r="35" spans="1:7" x14ac:dyDescent="0.3">
      <c r="A35" s="19" t="s">
        <v>133</v>
      </c>
      <c r="B35" s="21">
        <v>216</v>
      </c>
      <c r="C35" s="21">
        <v>1</v>
      </c>
      <c r="D35" s="20">
        <v>3690</v>
      </c>
      <c r="E35" s="21">
        <v>12</v>
      </c>
      <c r="F35" s="61" t="s">
        <v>90</v>
      </c>
      <c r="G35" s="62" t="s">
        <v>134</v>
      </c>
    </row>
    <row r="36" spans="1:7" x14ac:dyDescent="0.3">
      <c r="A36" s="15" t="s">
        <v>135</v>
      </c>
      <c r="B36" s="17">
        <v>476</v>
      </c>
      <c r="C36" s="17">
        <v>1</v>
      </c>
      <c r="D36" s="16">
        <v>3597</v>
      </c>
      <c r="E36" s="17">
        <v>9</v>
      </c>
      <c r="F36" s="59" t="s">
        <v>91</v>
      </c>
      <c r="G36" s="60" t="s">
        <v>136</v>
      </c>
    </row>
    <row r="37" spans="1:7" x14ac:dyDescent="0.3">
      <c r="A37" s="19" t="s">
        <v>137</v>
      </c>
      <c r="B37" s="21">
        <v>554</v>
      </c>
      <c r="C37" s="21">
        <v>1</v>
      </c>
      <c r="D37" s="20">
        <v>3549</v>
      </c>
      <c r="E37" s="21">
        <v>7</v>
      </c>
      <c r="F37" s="67" t="s">
        <v>91</v>
      </c>
      <c r="G37" s="62" t="s">
        <v>124</v>
      </c>
    </row>
    <row r="38" spans="1:7" x14ac:dyDescent="0.3">
      <c r="A38" s="15" t="s">
        <v>138</v>
      </c>
      <c r="B38" s="17">
        <v>384</v>
      </c>
      <c r="C38" s="17">
        <v>2</v>
      </c>
      <c r="D38" s="16">
        <v>3459</v>
      </c>
      <c r="E38" s="17">
        <v>11</v>
      </c>
      <c r="F38" s="65" t="s">
        <v>90</v>
      </c>
      <c r="G38" s="60" t="s">
        <v>104</v>
      </c>
    </row>
    <row r="39" spans="1:7" x14ac:dyDescent="0.3">
      <c r="A39" s="19" t="s">
        <v>139</v>
      </c>
      <c r="B39" s="21">
        <v>143</v>
      </c>
      <c r="C39" s="21">
        <v>1</v>
      </c>
      <c r="D39" s="20">
        <v>3399.99</v>
      </c>
      <c r="E39" s="21">
        <v>10</v>
      </c>
      <c r="F39" s="61" t="s">
        <v>90</v>
      </c>
      <c r="G39" s="62" t="s">
        <v>140</v>
      </c>
    </row>
    <row r="40" spans="1:7" x14ac:dyDescent="0.3">
      <c r="A40" s="15" t="s">
        <v>141</v>
      </c>
      <c r="B40" s="17">
        <v>200</v>
      </c>
      <c r="C40" s="17">
        <v>1</v>
      </c>
      <c r="D40" s="16">
        <v>3300</v>
      </c>
      <c r="E40" s="17">
        <v>11</v>
      </c>
      <c r="F40" s="65" t="s">
        <v>90</v>
      </c>
      <c r="G40" s="60" t="s">
        <v>142</v>
      </c>
    </row>
    <row r="41" spans="1:7" x14ac:dyDescent="0.3">
      <c r="A41" s="19" t="s">
        <v>143</v>
      </c>
      <c r="B41" s="21">
        <v>84</v>
      </c>
      <c r="C41" s="21">
        <v>1</v>
      </c>
      <c r="D41" s="20">
        <v>3198</v>
      </c>
      <c r="E41" s="63">
        <v>13</v>
      </c>
      <c r="F41" s="66" t="s">
        <v>89</v>
      </c>
      <c r="G41" s="62" t="s">
        <v>106</v>
      </c>
    </row>
    <row r="42" spans="1:7" x14ac:dyDescent="0.3">
      <c r="A42" s="15" t="s">
        <v>144</v>
      </c>
      <c r="B42" s="17">
        <v>256</v>
      </c>
      <c r="C42" s="17">
        <v>1</v>
      </c>
      <c r="D42" s="16">
        <v>3124</v>
      </c>
      <c r="E42" s="17">
        <v>11</v>
      </c>
      <c r="F42" s="65" t="s">
        <v>90</v>
      </c>
      <c r="G42" s="60" t="s">
        <v>142</v>
      </c>
    </row>
    <row r="43" spans="1:7" x14ac:dyDescent="0.3">
      <c r="A43" s="19" t="s">
        <v>145</v>
      </c>
      <c r="B43" s="21">
        <v>36</v>
      </c>
      <c r="C43" s="21">
        <v>1</v>
      </c>
      <c r="D43" s="20">
        <v>3109.99</v>
      </c>
      <c r="E43" s="21">
        <v>12</v>
      </c>
      <c r="F43" s="61" t="s">
        <v>90</v>
      </c>
      <c r="G43" s="62" t="s">
        <v>109</v>
      </c>
    </row>
    <row r="44" spans="1:7" x14ac:dyDescent="0.3">
      <c r="A44" s="15" t="s">
        <v>146</v>
      </c>
      <c r="B44" s="17">
        <v>125</v>
      </c>
      <c r="C44" s="17">
        <v>1</v>
      </c>
      <c r="D44" s="16">
        <v>3105</v>
      </c>
      <c r="E44" s="63">
        <v>13</v>
      </c>
      <c r="F44" s="64" t="s">
        <v>89</v>
      </c>
      <c r="G44" s="60" t="s">
        <v>147</v>
      </c>
    </row>
    <row r="45" spans="1:7" x14ac:dyDescent="0.3">
      <c r="A45" s="19" t="s">
        <v>148</v>
      </c>
      <c r="B45" s="21">
        <v>202</v>
      </c>
      <c r="C45" s="21">
        <v>1</v>
      </c>
      <c r="D45" s="20">
        <v>3099.9</v>
      </c>
      <c r="E45" s="21">
        <v>10</v>
      </c>
      <c r="F45" s="61" t="s">
        <v>90</v>
      </c>
      <c r="G45" s="62" t="s">
        <v>149</v>
      </c>
    </row>
    <row r="46" spans="1:7" x14ac:dyDescent="0.3">
      <c r="A46" s="15" t="s">
        <v>150</v>
      </c>
      <c r="B46" s="17">
        <v>100</v>
      </c>
      <c r="C46" s="17">
        <v>1</v>
      </c>
      <c r="D46" s="16">
        <v>3099.75</v>
      </c>
      <c r="E46" s="17">
        <v>10</v>
      </c>
      <c r="F46" s="65" t="s">
        <v>90</v>
      </c>
      <c r="G46" s="60" t="s">
        <v>140</v>
      </c>
    </row>
    <row r="47" spans="1:7" x14ac:dyDescent="0.3">
      <c r="A47" s="19" t="s">
        <v>151</v>
      </c>
      <c r="B47" s="21">
        <v>14</v>
      </c>
      <c r="C47" s="21">
        <v>1</v>
      </c>
      <c r="D47" s="20">
        <v>3099</v>
      </c>
      <c r="E47" s="63">
        <v>14</v>
      </c>
      <c r="F47" s="66" t="s">
        <v>89</v>
      </c>
      <c r="G47" s="62" t="s">
        <v>116</v>
      </c>
    </row>
    <row r="48" spans="1:7" x14ac:dyDescent="0.3">
      <c r="A48" s="15" t="s">
        <v>152</v>
      </c>
      <c r="B48" s="17">
        <v>55</v>
      </c>
      <c r="C48" s="17">
        <v>1</v>
      </c>
      <c r="D48" s="16">
        <v>3089</v>
      </c>
      <c r="E48" s="63">
        <v>13</v>
      </c>
      <c r="F48" s="64" t="s">
        <v>89</v>
      </c>
      <c r="G48" s="60" t="s">
        <v>106</v>
      </c>
    </row>
    <row r="49" spans="1:7" x14ac:dyDescent="0.3">
      <c r="A49" s="19" t="s">
        <v>153</v>
      </c>
      <c r="B49" s="21">
        <v>328</v>
      </c>
      <c r="C49" s="21">
        <v>1</v>
      </c>
      <c r="D49" s="20">
        <v>2999.99</v>
      </c>
      <c r="E49" s="21">
        <v>10</v>
      </c>
      <c r="F49" s="61" t="s">
        <v>90</v>
      </c>
      <c r="G49" s="62" t="s">
        <v>154</v>
      </c>
    </row>
    <row r="50" spans="1:7" x14ac:dyDescent="0.3">
      <c r="A50" s="15" t="s">
        <v>155</v>
      </c>
      <c r="B50" s="17">
        <v>324</v>
      </c>
      <c r="C50" s="17">
        <v>1</v>
      </c>
      <c r="D50" s="16">
        <v>2999.99</v>
      </c>
      <c r="E50" s="17">
        <v>11</v>
      </c>
      <c r="F50" s="65" t="s">
        <v>90</v>
      </c>
      <c r="G50" s="60" t="s">
        <v>156</v>
      </c>
    </row>
    <row r="51" spans="1:7" x14ac:dyDescent="0.3">
      <c r="A51" s="19" t="s">
        <v>157</v>
      </c>
      <c r="B51" s="21">
        <v>15</v>
      </c>
      <c r="C51" s="21">
        <v>1</v>
      </c>
      <c r="D51" s="20">
        <v>2999.9</v>
      </c>
      <c r="E51" s="63">
        <v>15</v>
      </c>
      <c r="F51" s="66" t="s">
        <v>89</v>
      </c>
      <c r="G51" s="62" t="s">
        <v>118</v>
      </c>
    </row>
    <row r="52" spans="1:7" x14ac:dyDescent="0.3">
      <c r="A52" s="15" t="s">
        <v>158</v>
      </c>
      <c r="B52" s="17">
        <v>527</v>
      </c>
      <c r="C52" s="17">
        <v>1</v>
      </c>
      <c r="D52" s="16">
        <v>2999.89</v>
      </c>
      <c r="E52" s="17">
        <v>7</v>
      </c>
      <c r="F52" s="59" t="s">
        <v>91</v>
      </c>
      <c r="G52" s="60" t="s">
        <v>124</v>
      </c>
    </row>
    <row r="53" spans="1:7" x14ac:dyDescent="0.3">
      <c r="A53" s="19" t="s">
        <v>159</v>
      </c>
      <c r="B53" s="21">
        <v>521</v>
      </c>
      <c r="C53" s="21">
        <v>1</v>
      </c>
      <c r="D53" s="20">
        <v>2999.89</v>
      </c>
      <c r="E53" s="21">
        <v>11</v>
      </c>
      <c r="F53" s="61" t="s">
        <v>90</v>
      </c>
      <c r="G53" s="62" t="s">
        <v>104</v>
      </c>
    </row>
    <row r="54" spans="1:7" x14ac:dyDescent="0.3">
      <c r="A54" s="15" t="s">
        <v>160</v>
      </c>
      <c r="B54" s="17">
        <v>450</v>
      </c>
      <c r="C54" s="17">
        <v>1</v>
      </c>
      <c r="D54" s="16">
        <v>2999.89</v>
      </c>
      <c r="E54" s="17">
        <v>11</v>
      </c>
      <c r="F54" s="65" t="s">
        <v>90</v>
      </c>
      <c r="G54" s="60" t="s">
        <v>104</v>
      </c>
    </row>
    <row r="55" spans="1:7" x14ac:dyDescent="0.3">
      <c r="A55" s="19" t="s">
        <v>161</v>
      </c>
      <c r="B55" s="21">
        <v>420</v>
      </c>
      <c r="C55" s="21">
        <v>1</v>
      </c>
      <c r="D55" s="20">
        <v>2999.89</v>
      </c>
      <c r="E55" s="21">
        <v>8</v>
      </c>
      <c r="F55" s="67" t="s">
        <v>91</v>
      </c>
      <c r="G55" s="62" t="s">
        <v>127</v>
      </c>
    </row>
    <row r="56" spans="1:7" x14ac:dyDescent="0.3">
      <c r="A56" s="15" t="s">
        <v>162</v>
      </c>
      <c r="B56" s="17">
        <v>539</v>
      </c>
      <c r="C56" s="17">
        <v>1</v>
      </c>
      <c r="D56" s="16">
        <v>2999.89</v>
      </c>
      <c r="E56" s="17">
        <v>7</v>
      </c>
      <c r="F56" s="59" t="s">
        <v>91</v>
      </c>
      <c r="G56" s="60" t="s">
        <v>124</v>
      </c>
    </row>
    <row r="57" spans="1:7" x14ac:dyDescent="0.3">
      <c r="A57" s="19" t="s">
        <v>163</v>
      </c>
      <c r="B57" s="21">
        <v>575</v>
      </c>
      <c r="C57" s="21">
        <v>1</v>
      </c>
      <c r="D57" s="20">
        <v>2999</v>
      </c>
      <c r="E57" s="21">
        <v>11</v>
      </c>
      <c r="F57" s="61" t="s">
        <v>90</v>
      </c>
      <c r="G57" s="62" t="s">
        <v>104</v>
      </c>
    </row>
    <row r="58" spans="1:7" x14ac:dyDescent="0.3">
      <c r="A58" s="15" t="s">
        <v>164</v>
      </c>
      <c r="B58" s="17">
        <v>282</v>
      </c>
      <c r="C58" s="17">
        <v>1</v>
      </c>
      <c r="D58" s="16">
        <v>2990</v>
      </c>
      <c r="E58" s="17">
        <v>10</v>
      </c>
      <c r="F58" s="65" t="s">
        <v>90</v>
      </c>
      <c r="G58" s="60" t="s">
        <v>154</v>
      </c>
    </row>
    <row r="59" spans="1:7" x14ac:dyDescent="0.3">
      <c r="A59" s="19" t="s">
        <v>165</v>
      </c>
      <c r="B59" s="21">
        <v>511</v>
      </c>
      <c r="C59" s="21">
        <v>1</v>
      </c>
      <c r="D59" s="20">
        <v>2951</v>
      </c>
      <c r="E59" s="21">
        <v>10</v>
      </c>
      <c r="F59" s="61" t="s">
        <v>90</v>
      </c>
      <c r="G59" s="62" t="s">
        <v>166</v>
      </c>
    </row>
    <row r="60" spans="1:7" x14ac:dyDescent="0.3">
      <c r="A60" s="15" t="s">
        <v>167</v>
      </c>
      <c r="B60" s="17">
        <v>79</v>
      </c>
      <c r="C60" s="17">
        <v>1</v>
      </c>
      <c r="D60" s="16">
        <v>2920</v>
      </c>
      <c r="E60" s="63">
        <v>14</v>
      </c>
      <c r="F60" s="64" t="s">
        <v>89</v>
      </c>
      <c r="G60" s="60" t="s">
        <v>116</v>
      </c>
    </row>
    <row r="61" spans="1:7" x14ac:dyDescent="0.3">
      <c r="A61" s="19" t="s">
        <v>168</v>
      </c>
      <c r="B61" s="21">
        <v>89</v>
      </c>
      <c r="C61" s="21">
        <v>1</v>
      </c>
      <c r="D61" s="20">
        <v>2919.4</v>
      </c>
      <c r="E61" s="63">
        <v>14</v>
      </c>
      <c r="F61" s="66" t="s">
        <v>89</v>
      </c>
      <c r="G61" s="62" t="s">
        <v>116</v>
      </c>
    </row>
    <row r="62" spans="1:7" x14ac:dyDescent="0.3">
      <c r="A62" s="15" t="s">
        <v>169</v>
      </c>
      <c r="B62" s="17">
        <v>165</v>
      </c>
      <c r="C62" s="17">
        <v>1</v>
      </c>
      <c r="D62" s="16">
        <v>2899</v>
      </c>
      <c r="E62" s="17">
        <v>10</v>
      </c>
      <c r="F62" s="65" t="s">
        <v>90</v>
      </c>
      <c r="G62" s="60" t="s">
        <v>140</v>
      </c>
    </row>
    <row r="63" spans="1:7" x14ac:dyDescent="0.3">
      <c r="A63" s="19" t="s">
        <v>170</v>
      </c>
      <c r="B63" s="21">
        <v>283</v>
      </c>
      <c r="C63" s="21">
        <v>1</v>
      </c>
      <c r="D63" s="20">
        <v>2899</v>
      </c>
      <c r="E63" s="21">
        <v>12</v>
      </c>
      <c r="F63" s="61" t="s">
        <v>90</v>
      </c>
      <c r="G63" s="62" t="s">
        <v>171</v>
      </c>
    </row>
    <row r="64" spans="1:7" x14ac:dyDescent="0.3">
      <c r="A64" s="15" t="s">
        <v>172</v>
      </c>
      <c r="B64" s="17">
        <v>302</v>
      </c>
      <c r="C64" s="17">
        <v>1</v>
      </c>
      <c r="D64" s="16">
        <v>2874</v>
      </c>
      <c r="E64" s="17">
        <v>9</v>
      </c>
      <c r="F64" s="59" t="s">
        <v>91</v>
      </c>
      <c r="G64" s="60" t="s">
        <v>112</v>
      </c>
    </row>
    <row r="65" spans="1:7" x14ac:dyDescent="0.3">
      <c r="A65" s="19" t="s">
        <v>173</v>
      </c>
      <c r="B65" s="21">
        <v>133</v>
      </c>
      <c r="C65" s="21">
        <v>1</v>
      </c>
      <c r="D65" s="20">
        <v>2849.9</v>
      </c>
      <c r="E65" s="63">
        <v>14</v>
      </c>
      <c r="F65" s="66" t="s">
        <v>89</v>
      </c>
      <c r="G65" s="62" t="s">
        <v>120</v>
      </c>
    </row>
    <row r="66" spans="1:7" x14ac:dyDescent="0.3">
      <c r="A66" s="15" t="s">
        <v>174</v>
      </c>
      <c r="B66" s="17">
        <v>146</v>
      </c>
      <c r="C66" s="17">
        <v>1</v>
      </c>
      <c r="D66" s="16">
        <v>2799.65</v>
      </c>
      <c r="E66" s="63">
        <v>13</v>
      </c>
      <c r="F66" s="64" t="s">
        <v>89</v>
      </c>
      <c r="G66" s="60" t="s">
        <v>147</v>
      </c>
    </row>
    <row r="67" spans="1:7" x14ac:dyDescent="0.3">
      <c r="A67" s="19" t="s">
        <v>175</v>
      </c>
      <c r="B67" s="21">
        <v>470</v>
      </c>
      <c r="C67" s="21">
        <v>1</v>
      </c>
      <c r="D67" s="20">
        <v>2799</v>
      </c>
      <c r="E67" s="21">
        <v>10</v>
      </c>
      <c r="F67" s="61" t="s">
        <v>90</v>
      </c>
      <c r="G67" s="62" t="s">
        <v>166</v>
      </c>
    </row>
    <row r="68" spans="1:7" x14ac:dyDescent="0.3">
      <c r="A68" s="15" t="s">
        <v>176</v>
      </c>
      <c r="B68" s="17">
        <v>90</v>
      </c>
      <c r="C68" s="17">
        <v>1</v>
      </c>
      <c r="D68" s="16">
        <v>2749.65</v>
      </c>
      <c r="E68" s="17">
        <v>12</v>
      </c>
      <c r="F68" s="65" t="s">
        <v>90</v>
      </c>
      <c r="G68" s="60" t="s">
        <v>109</v>
      </c>
    </row>
    <row r="69" spans="1:7" x14ac:dyDescent="0.3">
      <c r="A69" s="19" t="s">
        <v>177</v>
      </c>
      <c r="B69" s="21">
        <v>124</v>
      </c>
      <c r="C69" s="21">
        <v>1</v>
      </c>
      <c r="D69" s="20">
        <v>2749</v>
      </c>
      <c r="E69" s="21">
        <v>10</v>
      </c>
      <c r="F69" s="61" t="s">
        <v>90</v>
      </c>
      <c r="G69" s="62" t="s">
        <v>140</v>
      </c>
    </row>
    <row r="70" spans="1:7" x14ac:dyDescent="0.3">
      <c r="A70" s="15" t="s">
        <v>178</v>
      </c>
      <c r="B70" s="17">
        <v>478</v>
      </c>
      <c r="C70" s="17">
        <v>1</v>
      </c>
      <c r="D70" s="16">
        <v>2740</v>
      </c>
      <c r="E70" s="17">
        <v>7</v>
      </c>
      <c r="F70" s="59" t="s">
        <v>91</v>
      </c>
      <c r="G70" s="60" t="s">
        <v>124</v>
      </c>
    </row>
    <row r="71" spans="1:7" x14ac:dyDescent="0.3">
      <c r="A71" s="19" t="s">
        <v>179</v>
      </c>
      <c r="B71" s="21">
        <v>276</v>
      </c>
      <c r="C71" s="21">
        <v>1</v>
      </c>
      <c r="D71" s="20">
        <v>2700</v>
      </c>
      <c r="E71" s="21">
        <v>12</v>
      </c>
      <c r="F71" s="61" t="s">
        <v>90</v>
      </c>
      <c r="G71" s="62" t="s">
        <v>171</v>
      </c>
    </row>
    <row r="72" spans="1:7" x14ac:dyDescent="0.3">
      <c r="A72" s="15" t="s">
        <v>180</v>
      </c>
      <c r="B72" s="17">
        <v>270</v>
      </c>
      <c r="C72" s="17">
        <v>1</v>
      </c>
      <c r="D72" s="16">
        <v>2700</v>
      </c>
      <c r="E72" s="17">
        <v>8</v>
      </c>
      <c r="F72" s="59" t="s">
        <v>91</v>
      </c>
      <c r="G72" s="60" t="s">
        <v>102</v>
      </c>
    </row>
    <row r="73" spans="1:7" x14ac:dyDescent="0.3">
      <c r="A73" s="19" t="s">
        <v>181</v>
      </c>
      <c r="B73" s="21">
        <v>124</v>
      </c>
      <c r="C73" s="21">
        <v>1</v>
      </c>
      <c r="D73" s="20">
        <v>2699</v>
      </c>
      <c r="E73" s="21">
        <v>11</v>
      </c>
      <c r="F73" s="61" t="s">
        <v>90</v>
      </c>
      <c r="G73" s="62" t="s">
        <v>131</v>
      </c>
    </row>
    <row r="74" spans="1:7" x14ac:dyDescent="0.3">
      <c r="A74" s="15" t="s">
        <v>182</v>
      </c>
      <c r="B74" s="17">
        <v>93</v>
      </c>
      <c r="C74" s="17">
        <v>1</v>
      </c>
      <c r="D74" s="16">
        <v>2699</v>
      </c>
      <c r="E74" s="17">
        <v>12</v>
      </c>
      <c r="F74" s="65" t="s">
        <v>90</v>
      </c>
      <c r="G74" s="60" t="s">
        <v>183</v>
      </c>
    </row>
    <row r="75" spans="1:7" x14ac:dyDescent="0.3">
      <c r="A75" s="19" t="s">
        <v>184</v>
      </c>
      <c r="B75" s="21">
        <v>511</v>
      </c>
      <c r="C75" s="21">
        <v>1</v>
      </c>
      <c r="D75" s="20">
        <v>2690</v>
      </c>
      <c r="E75" s="21">
        <v>7</v>
      </c>
      <c r="F75" s="67" t="s">
        <v>91</v>
      </c>
      <c r="G75" s="62" t="s">
        <v>124</v>
      </c>
    </row>
    <row r="76" spans="1:7" x14ac:dyDescent="0.3">
      <c r="A76" s="15" t="s">
        <v>185</v>
      </c>
      <c r="B76" s="17">
        <v>437</v>
      </c>
      <c r="C76" s="17">
        <v>1</v>
      </c>
      <c r="D76" s="16">
        <v>2690</v>
      </c>
      <c r="E76" s="17">
        <v>7</v>
      </c>
      <c r="F76" s="59" t="s">
        <v>91</v>
      </c>
      <c r="G76" s="60" t="s">
        <v>124</v>
      </c>
    </row>
    <row r="77" spans="1:7" x14ac:dyDescent="0.3">
      <c r="A77" s="19" t="s">
        <v>186</v>
      </c>
      <c r="B77" s="21">
        <v>112</v>
      </c>
      <c r="C77" s="21">
        <v>1</v>
      </c>
      <c r="D77" s="20">
        <v>2689</v>
      </c>
      <c r="E77" s="63">
        <v>13</v>
      </c>
      <c r="F77" s="66" t="s">
        <v>89</v>
      </c>
      <c r="G77" s="62" t="s">
        <v>147</v>
      </c>
    </row>
    <row r="78" spans="1:7" x14ac:dyDescent="0.3">
      <c r="A78" s="15" t="s">
        <v>187</v>
      </c>
      <c r="B78" s="17">
        <v>258</v>
      </c>
      <c r="C78" s="17">
        <v>1</v>
      </c>
      <c r="D78" s="16">
        <v>2680</v>
      </c>
      <c r="E78" s="63">
        <v>13</v>
      </c>
      <c r="F78" s="64" t="s">
        <v>89</v>
      </c>
      <c r="G78" s="60" t="s">
        <v>188</v>
      </c>
    </row>
    <row r="79" spans="1:7" x14ac:dyDescent="0.3">
      <c r="A79" s="19" t="s">
        <v>189</v>
      </c>
      <c r="B79" s="21">
        <v>430</v>
      </c>
      <c r="C79" s="21">
        <v>1</v>
      </c>
      <c r="D79" s="20">
        <v>2649.99</v>
      </c>
      <c r="E79" s="21">
        <v>9</v>
      </c>
      <c r="F79" s="67" t="s">
        <v>91</v>
      </c>
      <c r="G79" s="62" t="s">
        <v>136</v>
      </c>
    </row>
    <row r="80" spans="1:7" x14ac:dyDescent="0.3">
      <c r="A80" s="15" t="s">
        <v>190</v>
      </c>
      <c r="B80" s="17">
        <v>251</v>
      </c>
      <c r="C80" s="17">
        <v>1</v>
      </c>
      <c r="D80" s="16">
        <v>2649.99</v>
      </c>
      <c r="E80" s="17">
        <v>9</v>
      </c>
      <c r="F80" s="59" t="s">
        <v>91</v>
      </c>
      <c r="G80" s="60" t="s">
        <v>191</v>
      </c>
    </row>
    <row r="81" spans="1:7" x14ac:dyDescent="0.3">
      <c r="A81" s="19" t="s">
        <v>192</v>
      </c>
      <c r="B81" s="21">
        <v>454</v>
      </c>
      <c r="C81" s="21">
        <v>1</v>
      </c>
      <c r="D81" s="20">
        <v>2649</v>
      </c>
      <c r="E81" s="21">
        <v>10</v>
      </c>
      <c r="F81" s="61" t="s">
        <v>90</v>
      </c>
      <c r="G81" s="62" t="s">
        <v>166</v>
      </c>
    </row>
    <row r="82" spans="1:7" x14ac:dyDescent="0.3">
      <c r="A82" s="15" t="s">
        <v>193</v>
      </c>
      <c r="B82" s="17">
        <v>450</v>
      </c>
      <c r="C82" s="17">
        <v>1</v>
      </c>
      <c r="D82" s="16">
        <v>2649</v>
      </c>
      <c r="E82" s="17">
        <v>10</v>
      </c>
      <c r="F82" s="65" t="s">
        <v>90</v>
      </c>
      <c r="G82" s="60" t="s">
        <v>166</v>
      </c>
    </row>
    <row r="83" spans="1:7" x14ac:dyDescent="0.3">
      <c r="A83" s="19" t="s">
        <v>194</v>
      </c>
      <c r="B83" s="21">
        <v>510</v>
      </c>
      <c r="C83" s="21">
        <v>1</v>
      </c>
      <c r="D83" s="20">
        <v>2589</v>
      </c>
      <c r="E83" s="21">
        <v>9</v>
      </c>
      <c r="F83" s="67" t="s">
        <v>91</v>
      </c>
      <c r="G83" s="62" t="s">
        <v>136</v>
      </c>
    </row>
    <row r="84" spans="1:7" x14ac:dyDescent="0.3">
      <c r="A84" s="15" t="s">
        <v>195</v>
      </c>
      <c r="B84" s="17">
        <v>113</v>
      </c>
      <c r="C84" s="17">
        <v>1</v>
      </c>
      <c r="D84" s="16">
        <v>2550</v>
      </c>
      <c r="E84" s="17">
        <v>11</v>
      </c>
      <c r="F84" s="65" t="s">
        <v>90</v>
      </c>
      <c r="G84" s="60" t="s">
        <v>131</v>
      </c>
    </row>
    <row r="85" spans="1:7" x14ac:dyDescent="0.3">
      <c r="A85" s="19" t="s">
        <v>196</v>
      </c>
      <c r="B85" s="21">
        <v>90</v>
      </c>
      <c r="C85" s="21">
        <v>1</v>
      </c>
      <c r="D85" s="20">
        <v>2547</v>
      </c>
      <c r="E85" s="21">
        <v>11</v>
      </c>
      <c r="F85" s="61" t="s">
        <v>90</v>
      </c>
      <c r="G85" s="62" t="s">
        <v>197</v>
      </c>
    </row>
    <row r="86" spans="1:7" x14ac:dyDescent="0.3">
      <c r="A86" s="15" t="s">
        <v>198</v>
      </c>
      <c r="B86" s="17">
        <v>110</v>
      </c>
      <c r="C86" s="17">
        <v>1</v>
      </c>
      <c r="D86" s="16">
        <v>2520</v>
      </c>
      <c r="E86" s="63">
        <v>14</v>
      </c>
      <c r="F86" s="64" t="s">
        <v>89</v>
      </c>
      <c r="G86" s="60" t="s">
        <v>120</v>
      </c>
    </row>
    <row r="87" spans="1:7" x14ac:dyDescent="0.3">
      <c r="A87" s="19" t="s">
        <v>199</v>
      </c>
      <c r="B87" s="21">
        <v>431</v>
      </c>
      <c r="C87" s="21">
        <v>1</v>
      </c>
      <c r="D87" s="20">
        <v>2499.9899999999998</v>
      </c>
      <c r="E87" s="21">
        <v>9</v>
      </c>
      <c r="F87" s="67" t="s">
        <v>91</v>
      </c>
      <c r="G87" s="62" t="s">
        <v>136</v>
      </c>
    </row>
    <row r="88" spans="1:7" x14ac:dyDescent="0.3">
      <c r="A88" s="15" t="s">
        <v>200</v>
      </c>
      <c r="B88" s="17">
        <v>529</v>
      </c>
      <c r="C88" s="17">
        <v>1</v>
      </c>
      <c r="D88" s="16">
        <v>2498</v>
      </c>
      <c r="E88" s="17">
        <v>11</v>
      </c>
      <c r="F88" s="65" t="s">
        <v>90</v>
      </c>
      <c r="G88" s="60" t="s">
        <v>104</v>
      </c>
    </row>
    <row r="89" spans="1:7" x14ac:dyDescent="0.3">
      <c r="A89" s="19" t="s">
        <v>201</v>
      </c>
      <c r="B89" s="21">
        <v>103</v>
      </c>
      <c r="C89" s="21">
        <v>1</v>
      </c>
      <c r="D89" s="20">
        <v>2470.5</v>
      </c>
      <c r="E89" s="21">
        <v>10</v>
      </c>
      <c r="F89" s="61" t="s">
        <v>90</v>
      </c>
      <c r="G89" s="62" t="s">
        <v>140</v>
      </c>
    </row>
    <row r="90" spans="1:7" x14ac:dyDescent="0.3">
      <c r="A90" s="15" t="s">
        <v>202</v>
      </c>
      <c r="B90" s="17">
        <v>101</v>
      </c>
      <c r="C90" s="17">
        <v>1</v>
      </c>
      <c r="D90" s="16">
        <v>2470.5</v>
      </c>
      <c r="E90" s="17">
        <v>10</v>
      </c>
      <c r="F90" s="65" t="s">
        <v>90</v>
      </c>
      <c r="G90" s="60" t="s">
        <v>140</v>
      </c>
    </row>
    <row r="91" spans="1:7" x14ac:dyDescent="0.3">
      <c r="A91" s="19" t="s">
        <v>203</v>
      </c>
      <c r="B91" s="21">
        <v>167</v>
      </c>
      <c r="C91" s="21">
        <v>1</v>
      </c>
      <c r="D91" s="20">
        <v>2433.6</v>
      </c>
      <c r="E91" s="21">
        <v>12</v>
      </c>
      <c r="F91" s="61" t="s">
        <v>90</v>
      </c>
      <c r="G91" s="62" t="s">
        <v>183</v>
      </c>
    </row>
    <row r="92" spans="1:7" x14ac:dyDescent="0.3">
      <c r="A92" s="15" t="s">
        <v>204</v>
      </c>
      <c r="B92" s="17">
        <v>127</v>
      </c>
      <c r="C92" s="17">
        <v>1</v>
      </c>
      <c r="D92" s="16">
        <v>2428</v>
      </c>
      <c r="E92" s="17">
        <v>10</v>
      </c>
      <c r="F92" s="65" t="s">
        <v>90</v>
      </c>
      <c r="G92" s="60" t="s">
        <v>140</v>
      </c>
    </row>
    <row r="93" spans="1:7" x14ac:dyDescent="0.3">
      <c r="A93" s="19" t="s">
        <v>205</v>
      </c>
      <c r="B93" s="21">
        <v>279</v>
      </c>
      <c r="C93" s="21">
        <v>1</v>
      </c>
      <c r="D93" s="20">
        <v>2400</v>
      </c>
      <c r="E93" s="21">
        <v>8</v>
      </c>
      <c r="F93" s="67" t="s">
        <v>91</v>
      </c>
      <c r="G93" s="62" t="s">
        <v>102</v>
      </c>
    </row>
    <row r="94" spans="1:7" x14ac:dyDescent="0.3">
      <c r="A94" s="15" t="s">
        <v>206</v>
      </c>
      <c r="B94" s="17">
        <v>365</v>
      </c>
      <c r="C94" s="17">
        <v>2</v>
      </c>
      <c r="D94" s="16">
        <v>2400</v>
      </c>
      <c r="E94" s="17">
        <v>12</v>
      </c>
      <c r="F94" s="65" t="s">
        <v>90</v>
      </c>
      <c r="G94" s="60" t="s">
        <v>171</v>
      </c>
    </row>
    <row r="95" spans="1:7" x14ac:dyDescent="0.3">
      <c r="A95" s="19" t="s">
        <v>207</v>
      </c>
      <c r="B95" s="21">
        <v>272</v>
      </c>
      <c r="C95" s="21">
        <v>1</v>
      </c>
      <c r="D95" s="20">
        <v>2400</v>
      </c>
      <c r="E95" s="21">
        <v>12</v>
      </c>
      <c r="F95" s="61" t="s">
        <v>90</v>
      </c>
      <c r="G95" s="62" t="s">
        <v>171</v>
      </c>
    </row>
    <row r="96" spans="1:7" x14ac:dyDescent="0.3">
      <c r="A96" s="15" t="s">
        <v>208</v>
      </c>
      <c r="B96" s="17">
        <v>397</v>
      </c>
      <c r="C96" s="17">
        <v>1</v>
      </c>
      <c r="D96" s="16">
        <v>2399.8000000000002</v>
      </c>
      <c r="E96" s="17">
        <v>9</v>
      </c>
      <c r="F96" s="59" t="s">
        <v>91</v>
      </c>
      <c r="G96" s="60" t="s">
        <v>136</v>
      </c>
    </row>
    <row r="97" spans="1:7" x14ac:dyDescent="0.3">
      <c r="A97" s="19" t="s">
        <v>209</v>
      </c>
      <c r="B97" s="21">
        <v>278</v>
      </c>
      <c r="C97" s="21">
        <v>1</v>
      </c>
      <c r="D97" s="20">
        <v>2399</v>
      </c>
      <c r="E97" s="21">
        <v>10</v>
      </c>
      <c r="F97" s="61" t="s">
        <v>90</v>
      </c>
      <c r="G97" s="62" t="s">
        <v>154</v>
      </c>
    </row>
    <row r="98" spans="1:7" x14ac:dyDescent="0.3">
      <c r="A98" s="15" t="s">
        <v>210</v>
      </c>
      <c r="B98" s="17">
        <v>306</v>
      </c>
      <c r="C98" s="17">
        <v>1</v>
      </c>
      <c r="D98" s="16">
        <v>2399</v>
      </c>
      <c r="E98" s="17">
        <v>9</v>
      </c>
      <c r="F98" s="59" t="s">
        <v>91</v>
      </c>
      <c r="G98" s="60" t="s">
        <v>112</v>
      </c>
    </row>
    <row r="99" spans="1:7" x14ac:dyDescent="0.3">
      <c r="A99" s="19" t="s">
        <v>211</v>
      </c>
      <c r="B99" s="21">
        <v>32</v>
      </c>
      <c r="C99" s="21">
        <v>1</v>
      </c>
      <c r="D99" s="20">
        <v>2399</v>
      </c>
      <c r="E99" s="63">
        <v>13</v>
      </c>
      <c r="F99" s="66" t="s">
        <v>89</v>
      </c>
      <c r="G99" s="62" t="s">
        <v>106</v>
      </c>
    </row>
    <row r="100" spans="1:7" x14ac:dyDescent="0.3">
      <c r="A100" s="15" t="s">
        <v>212</v>
      </c>
      <c r="B100" s="17">
        <v>97</v>
      </c>
      <c r="C100" s="17">
        <v>1</v>
      </c>
      <c r="D100" s="16">
        <v>2370</v>
      </c>
      <c r="E100" s="63">
        <v>13</v>
      </c>
      <c r="F100" s="64" t="s">
        <v>89</v>
      </c>
      <c r="G100" s="60" t="s">
        <v>147</v>
      </c>
    </row>
    <row r="101" spans="1:7" x14ac:dyDescent="0.3">
      <c r="A101" s="19" t="s">
        <v>213</v>
      </c>
      <c r="B101" s="21">
        <v>20</v>
      </c>
      <c r="C101" s="21">
        <v>1</v>
      </c>
      <c r="D101" s="20">
        <v>2350</v>
      </c>
      <c r="E101" s="63">
        <v>13</v>
      </c>
      <c r="F101" s="66" t="s">
        <v>89</v>
      </c>
      <c r="G101" s="62" t="s">
        <v>106</v>
      </c>
    </row>
    <row r="102" spans="1:7" x14ac:dyDescent="0.3">
      <c r="A102" s="15" t="s">
        <v>214</v>
      </c>
      <c r="B102" s="17">
        <v>21</v>
      </c>
      <c r="C102" s="17">
        <v>1</v>
      </c>
      <c r="D102" s="16">
        <v>2338.08</v>
      </c>
      <c r="E102" s="17">
        <v>11</v>
      </c>
      <c r="F102" s="65" t="s">
        <v>90</v>
      </c>
      <c r="G102" s="60" t="s">
        <v>197</v>
      </c>
    </row>
    <row r="103" spans="1:7" x14ac:dyDescent="0.3">
      <c r="A103" s="19" t="s">
        <v>215</v>
      </c>
      <c r="B103" s="21">
        <v>17</v>
      </c>
      <c r="C103" s="21">
        <v>1</v>
      </c>
      <c r="D103" s="20">
        <v>2338.08</v>
      </c>
      <c r="E103" s="21">
        <v>12</v>
      </c>
      <c r="F103" s="61" t="s">
        <v>90</v>
      </c>
      <c r="G103" s="62" t="s">
        <v>109</v>
      </c>
    </row>
    <row r="104" spans="1:7" x14ac:dyDescent="0.3">
      <c r="A104" s="15" t="s">
        <v>216</v>
      </c>
      <c r="B104" s="17">
        <v>31</v>
      </c>
      <c r="C104" s="17">
        <v>1</v>
      </c>
      <c r="D104" s="16">
        <v>2338.08</v>
      </c>
      <c r="E104" s="63">
        <v>15</v>
      </c>
      <c r="F104" s="64" t="s">
        <v>89</v>
      </c>
      <c r="G104" s="60" t="s">
        <v>118</v>
      </c>
    </row>
    <row r="105" spans="1:7" x14ac:dyDescent="0.3">
      <c r="A105" s="19" t="s">
        <v>217</v>
      </c>
      <c r="B105" s="21">
        <v>10</v>
      </c>
      <c r="C105" s="21">
        <v>1</v>
      </c>
      <c r="D105" s="20">
        <v>2300</v>
      </c>
      <c r="E105" s="63">
        <v>13</v>
      </c>
      <c r="F105" s="66" t="s">
        <v>89</v>
      </c>
      <c r="G105" s="62" t="s">
        <v>106</v>
      </c>
    </row>
    <row r="106" spans="1:7" x14ac:dyDescent="0.3">
      <c r="A106" s="15" t="s">
        <v>218</v>
      </c>
      <c r="B106" s="17">
        <v>4</v>
      </c>
      <c r="C106" s="17">
        <v>1</v>
      </c>
      <c r="D106" s="16">
        <v>2300</v>
      </c>
      <c r="E106" s="63">
        <v>15</v>
      </c>
      <c r="F106" s="64" t="s">
        <v>89</v>
      </c>
      <c r="G106" s="60" t="s">
        <v>118</v>
      </c>
    </row>
    <row r="107" spans="1:7" x14ac:dyDescent="0.3">
      <c r="A107" s="19" t="s">
        <v>219</v>
      </c>
      <c r="B107" s="21">
        <v>81</v>
      </c>
      <c r="C107" s="21">
        <v>1</v>
      </c>
      <c r="D107" s="20">
        <v>2299.9899999999998</v>
      </c>
      <c r="E107" s="63">
        <v>14</v>
      </c>
      <c r="F107" s="66" t="s">
        <v>89</v>
      </c>
      <c r="G107" s="62" t="s">
        <v>116</v>
      </c>
    </row>
    <row r="108" spans="1:7" x14ac:dyDescent="0.3">
      <c r="A108" s="15" t="s">
        <v>220</v>
      </c>
      <c r="B108" s="17">
        <v>134</v>
      </c>
      <c r="C108" s="17">
        <v>1</v>
      </c>
      <c r="D108" s="16">
        <v>2299.9499999999998</v>
      </c>
      <c r="E108" s="17">
        <v>12</v>
      </c>
      <c r="F108" s="65" t="s">
        <v>90</v>
      </c>
      <c r="G108" s="60" t="s">
        <v>183</v>
      </c>
    </row>
    <row r="109" spans="1:7" x14ac:dyDescent="0.3">
      <c r="A109" s="19" t="s">
        <v>221</v>
      </c>
      <c r="B109" s="21">
        <v>13</v>
      </c>
      <c r="C109" s="21">
        <v>1</v>
      </c>
      <c r="D109" s="20">
        <v>2299</v>
      </c>
      <c r="E109" s="63">
        <v>14</v>
      </c>
      <c r="F109" s="66" t="s">
        <v>89</v>
      </c>
      <c r="G109" s="62" t="s">
        <v>116</v>
      </c>
    </row>
    <row r="110" spans="1:7" x14ac:dyDescent="0.3">
      <c r="A110" s="15" t="s">
        <v>222</v>
      </c>
      <c r="B110" s="17">
        <v>183</v>
      </c>
      <c r="C110" s="17">
        <v>1</v>
      </c>
      <c r="D110" s="16">
        <v>2288</v>
      </c>
      <c r="E110" s="63">
        <v>13</v>
      </c>
      <c r="F110" s="64" t="s">
        <v>89</v>
      </c>
      <c r="G110" s="60" t="s">
        <v>188</v>
      </c>
    </row>
    <row r="111" spans="1:7" x14ac:dyDescent="0.3">
      <c r="A111" s="19" t="s">
        <v>223</v>
      </c>
      <c r="B111" s="21">
        <v>34</v>
      </c>
      <c r="C111" s="21">
        <v>1</v>
      </c>
      <c r="D111" s="20">
        <v>2258</v>
      </c>
      <c r="E111" s="21">
        <v>11</v>
      </c>
      <c r="F111" s="61" t="s">
        <v>90</v>
      </c>
      <c r="G111" s="62" t="s">
        <v>197</v>
      </c>
    </row>
    <row r="112" spans="1:7" x14ac:dyDescent="0.3">
      <c r="A112" s="15" t="s">
        <v>224</v>
      </c>
      <c r="B112" s="17">
        <v>15</v>
      </c>
      <c r="C112" s="17">
        <v>1</v>
      </c>
      <c r="D112" s="16">
        <v>2258</v>
      </c>
      <c r="E112" s="63">
        <v>13</v>
      </c>
      <c r="F112" s="64" t="s">
        <v>89</v>
      </c>
      <c r="G112" s="60" t="s">
        <v>106</v>
      </c>
    </row>
    <row r="113" spans="1:7" x14ac:dyDescent="0.3">
      <c r="A113" s="19" t="s">
        <v>225</v>
      </c>
      <c r="B113" s="21">
        <v>480</v>
      </c>
      <c r="C113" s="21">
        <v>1</v>
      </c>
      <c r="D113" s="20">
        <v>2249</v>
      </c>
      <c r="E113" s="21">
        <v>11</v>
      </c>
      <c r="F113" s="61" t="s">
        <v>90</v>
      </c>
      <c r="G113" s="62" t="s">
        <v>104</v>
      </c>
    </row>
    <row r="114" spans="1:7" x14ac:dyDescent="0.3">
      <c r="A114" s="15" t="s">
        <v>226</v>
      </c>
      <c r="B114" s="17">
        <v>103</v>
      </c>
      <c r="C114" s="17">
        <v>2</v>
      </c>
      <c r="D114" s="16">
        <v>2238.42</v>
      </c>
      <c r="E114" s="63">
        <v>14</v>
      </c>
      <c r="F114" s="64" t="s">
        <v>89</v>
      </c>
      <c r="G114" s="60" t="s">
        <v>120</v>
      </c>
    </row>
    <row r="115" spans="1:7" x14ac:dyDescent="0.3">
      <c r="A115" s="19" t="s">
        <v>227</v>
      </c>
      <c r="B115" s="21">
        <v>71</v>
      </c>
      <c r="C115" s="21">
        <v>1</v>
      </c>
      <c r="D115" s="20">
        <v>2221</v>
      </c>
      <c r="E115" s="63">
        <v>13</v>
      </c>
      <c r="F115" s="66" t="s">
        <v>89</v>
      </c>
      <c r="G115" s="62" t="s">
        <v>106</v>
      </c>
    </row>
    <row r="116" spans="1:7" x14ac:dyDescent="0.3">
      <c r="A116" s="15" t="s">
        <v>228</v>
      </c>
      <c r="B116" s="17">
        <v>114</v>
      </c>
      <c r="C116" s="17">
        <v>1</v>
      </c>
      <c r="D116" s="16">
        <v>2218</v>
      </c>
      <c r="E116" s="63">
        <v>13</v>
      </c>
      <c r="F116" s="64" t="s">
        <v>89</v>
      </c>
      <c r="G116" s="60" t="s">
        <v>147</v>
      </c>
    </row>
    <row r="117" spans="1:7" x14ac:dyDescent="0.3">
      <c r="A117" s="19" t="s">
        <v>229</v>
      </c>
      <c r="B117" s="21">
        <v>320</v>
      </c>
      <c r="C117" s="21">
        <v>3</v>
      </c>
      <c r="D117" s="20">
        <v>2200</v>
      </c>
      <c r="E117" s="21">
        <v>12</v>
      </c>
      <c r="F117" s="61" t="s">
        <v>90</v>
      </c>
      <c r="G117" s="62" t="s">
        <v>171</v>
      </c>
    </row>
    <row r="118" spans="1:7" x14ac:dyDescent="0.3">
      <c r="A118" s="15" t="s">
        <v>230</v>
      </c>
      <c r="B118" s="17">
        <v>516</v>
      </c>
      <c r="C118" s="17">
        <v>1</v>
      </c>
      <c r="D118" s="16">
        <v>2200</v>
      </c>
      <c r="E118" s="17">
        <v>9</v>
      </c>
      <c r="F118" s="59" t="s">
        <v>91</v>
      </c>
      <c r="G118" s="60" t="s">
        <v>136</v>
      </c>
    </row>
    <row r="119" spans="1:7" x14ac:dyDescent="0.3">
      <c r="A119" s="19" t="s">
        <v>231</v>
      </c>
      <c r="B119" s="21">
        <v>146</v>
      </c>
      <c r="C119" s="21">
        <v>1</v>
      </c>
      <c r="D119" s="20">
        <v>2200</v>
      </c>
      <c r="E119" s="63">
        <v>13</v>
      </c>
      <c r="F119" s="66" t="s">
        <v>89</v>
      </c>
      <c r="G119" s="62" t="s">
        <v>147</v>
      </c>
    </row>
    <row r="120" spans="1:7" x14ac:dyDescent="0.3">
      <c r="A120" s="15" t="s">
        <v>232</v>
      </c>
      <c r="B120" s="17">
        <v>577</v>
      </c>
      <c r="C120" s="17">
        <v>1</v>
      </c>
      <c r="D120" s="16">
        <v>2199.9899999999998</v>
      </c>
      <c r="E120" s="17">
        <v>10</v>
      </c>
      <c r="F120" s="65" t="s">
        <v>90</v>
      </c>
      <c r="G120" s="60" t="s">
        <v>166</v>
      </c>
    </row>
    <row r="121" spans="1:7" x14ac:dyDescent="0.3">
      <c r="A121" s="19" t="s">
        <v>233</v>
      </c>
      <c r="B121" s="21">
        <v>49</v>
      </c>
      <c r="C121" s="21">
        <v>1</v>
      </c>
      <c r="D121" s="20">
        <v>2199.9899999999998</v>
      </c>
      <c r="E121" s="63">
        <v>13</v>
      </c>
      <c r="F121" s="66" t="s">
        <v>89</v>
      </c>
      <c r="G121" s="62" t="s">
        <v>106</v>
      </c>
    </row>
    <row r="122" spans="1:7" x14ac:dyDescent="0.3">
      <c r="A122" s="15" t="s">
        <v>234</v>
      </c>
      <c r="B122" s="17">
        <v>251</v>
      </c>
      <c r="C122" s="17">
        <v>1</v>
      </c>
      <c r="D122" s="16">
        <v>2199</v>
      </c>
      <c r="E122" s="17">
        <v>10</v>
      </c>
      <c r="F122" s="65" t="s">
        <v>90</v>
      </c>
      <c r="G122" s="60" t="s">
        <v>149</v>
      </c>
    </row>
    <row r="123" spans="1:7" x14ac:dyDescent="0.3">
      <c r="A123" s="19" t="s">
        <v>235</v>
      </c>
      <c r="B123" s="21">
        <v>34</v>
      </c>
      <c r="C123" s="21">
        <v>1</v>
      </c>
      <c r="D123" s="20">
        <v>2199</v>
      </c>
      <c r="E123" s="63">
        <v>15</v>
      </c>
      <c r="F123" s="66" t="s">
        <v>89</v>
      </c>
      <c r="G123" s="62" t="s">
        <v>118</v>
      </c>
    </row>
    <row r="124" spans="1:7" x14ac:dyDescent="0.3">
      <c r="A124" s="15" t="s">
        <v>236</v>
      </c>
      <c r="B124" s="17">
        <v>282</v>
      </c>
      <c r="C124" s="17">
        <v>1</v>
      </c>
      <c r="D124" s="16">
        <v>2199</v>
      </c>
      <c r="E124" s="17">
        <v>11</v>
      </c>
      <c r="F124" s="65" t="s">
        <v>90</v>
      </c>
      <c r="G124" s="60" t="s">
        <v>156</v>
      </c>
    </row>
    <row r="125" spans="1:7" x14ac:dyDescent="0.3">
      <c r="A125" s="19" t="s">
        <v>237</v>
      </c>
      <c r="B125" s="21">
        <v>44</v>
      </c>
      <c r="C125" s="21">
        <v>1</v>
      </c>
      <c r="D125" s="20">
        <v>2198</v>
      </c>
      <c r="E125" s="63">
        <v>15</v>
      </c>
      <c r="F125" s="66" t="s">
        <v>89</v>
      </c>
      <c r="G125" s="62" t="s">
        <v>118</v>
      </c>
    </row>
    <row r="126" spans="1:7" x14ac:dyDescent="0.3">
      <c r="A126" s="15" t="s">
        <v>238</v>
      </c>
      <c r="B126" s="17">
        <v>118</v>
      </c>
      <c r="C126" s="17">
        <v>1</v>
      </c>
      <c r="D126" s="16">
        <v>2179</v>
      </c>
      <c r="E126" s="17">
        <v>10</v>
      </c>
      <c r="F126" s="65" t="s">
        <v>90</v>
      </c>
      <c r="G126" s="60" t="s">
        <v>140</v>
      </c>
    </row>
    <row r="127" spans="1:7" x14ac:dyDescent="0.3">
      <c r="A127" s="19" t="s">
        <v>239</v>
      </c>
      <c r="B127" s="21">
        <v>121</v>
      </c>
      <c r="C127" s="21">
        <v>1</v>
      </c>
      <c r="D127" s="20">
        <v>2170</v>
      </c>
      <c r="E127" s="21">
        <v>12</v>
      </c>
      <c r="F127" s="61" t="s">
        <v>90</v>
      </c>
      <c r="G127" s="62" t="s">
        <v>183</v>
      </c>
    </row>
    <row r="128" spans="1:7" x14ac:dyDescent="0.3">
      <c r="A128" s="15" t="s">
        <v>240</v>
      </c>
      <c r="B128" s="17">
        <v>65</v>
      </c>
      <c r="C128" s="17">
        <v>1</v>
      </c>
      <c r="D128" s="16">
        <v>2160</v>
      </c>
      <c r="E128" s="17">
        <v>11</v>
      </c>
      <c r="F128" s="65" t="s">
        <v>90</v>
      </c>
      <c r="G128" s="60" t="s">
        <v>197</v>
      </c>
    </row>
    <row r="129" spans="1:7" x14ac:dyDescent="0.3">
      <c r="A129" s="19" t="s">
        <v>241</v>
      </c>
      <c r="B129" s="21">
        <v>6</v>
      </c>
      <c r="C129" s="21">
        <v>1</v>
      </c>
      <c r="D129" s="20">
        <v>2160</v>
      </c>
      <c r="E129" s="63">
        <v>13</v>
      </c>
      <c r="F129" s="66" t="s">
        <v>89</v>
      </c>
      <c r="G129" s="62" t="s">
        <v>106</v>
      </c>
    </row>
    <row r="130" spans="1:7" x14ac:dyDescent="0.3">
      <c r="A130" s="15" t="s">
        <v>242</v>
      </c>
      <c r="B130" s="17">
        <v>381</v>
      </c>
      <c r="C130" s="17">
        <v>1</v>
      </c>
      <c r="D130" s="16">
        <v>2159.98</v>
      </c>
      <c r="E130" s="17">
        <v>8</v>
      </c>
      <c r="F130" s="59" t="s">
        <v>91</v>
      </c>
      <c r="G130" s="60" t="s">
        <v>102</v>
      </c>
    </row>
    <row r="131" spans="1:7" x14ac:dyDescent="0.3">
      <c r="A131" s="19" t="s">
        <v>243</v>
      </c>
      <c r="B131" s="21">
        <v>79</v>
      </c>
      <c r="C131" s="21">
        <v>1</v>
      </c>
      <c r="D131" s="20">
        <v>2139.9899999999998</v>
      </c>
      <c r="E131" s="21">
        <v>11</v>
      </c>
      <c r="F131" s="61" t="s">
        <v>90</v>
      </c>
      <c r="G131" s="62" t="s">
        <v>197</v>
      </c>
    </row>
    <row r="132" spans="1:7" x14ac:dyDescent="0.3">
      <c r="A132" s="15" t="s">
        <v>244</v>
      </c>
      <c r="B132" s="17">
        <v>534</v>
      </c>
      <c r="C132" s="17">
        <v>1</v>
      </c>
      <c r="D132" s="16">
        <v>2130</v>
      </c>
      <c r="E132" s="17">
        <v>7</v>
      </c>
      <c r="F132" s="59" t="s">
        <v>91</v>
      </c>
      <c r="G132" s="60" t="s">
        <v>124</v>
      </c>
    </row>
    <row r="133" spans="1:7" x14ac:dyDescent="0.3">
      <c r="A133" s="19" t="s">
        <v>245</v>
      </c>
      <c r="B133" s="21">
        <v>524</v>
      </c>
      <c r="C133" s="21">
        <v>1</v>
      </c>
      <c r="D133" s="20">
        <v>2120.39</v>
      </c>
      <c r="E133" s="21">
        <v>8</v>
      </c>
      <c r="F133" s="67" t="s">
        <v>91</v>
      </c>
      <c r="G133" s="62" t="s">
        <v>127</v>
      </c>
    </row>
    <row r="134" spans="1:7" x14ac:dyDescent="0.3">
      <c r="A134" s="15" t="s">
        <v>246</v>
      </c>
      <c r="B134" s="17">
        <v>148</v>
      </c>
      <c r="C134" s="17">
        <v>1</v>
      </c>
      <c r="D134" s="16">
        <v>2110</v>
      </c>
      <c r="E134" s="63">
        <v>13</v>
      </c>
      <c r="F134" s="64" t="s">
        <v>89</v>
      </c>
      <c r="G134" s="60" t="s">
        <v>147</v>
      </c>
    </row>
    <row r="135" spans="1:7" x14ac:dyDescent="0.3">
      <c r="A135" s="19" t="s">
        <v>247</v>
      </c>
      <c r="B135" s="21">
        <v>116</v>
      </c>
      <c r="C135" s="21">
        <v>1</v>
      </c>
      <c r="D135" s="20">
        <v>2110</v>
      </c>
      <c r="E135" s="21">
        <v>10</v>
      </c>
      <c r="F135" s="61" t="s">
        <v>90</v>
      </c>
      <c r="G135" s="62" t="s">
        <v>140</v>
      </c>
    </row>
    <row r="136" spans="1:7" x14ac:dyDescent="0.3">
      <c r="A136" s="15" t="s">
        <v>248</v>
      </c>
      <c r="B136" s="17">
        <v>148</v>
      </c>
      <c r="C136" s="17">
        <v>1</v>
      </c>
      <c r="D136" s="16">
        <v>2110</v>
      </c>
      <c r="E136" s="63">
        <v>14</v>
      </c>
      <c r="F136" s="64" t="s">
        <v>89</v>
      </c>
      <c r="G136" s="60" t="s">
        <v>120</v>
      </c>
    </row>
    <row r="137" spans="1:7" x14ac:dyDescent="0.3">
      <c r="A137" s="19" t="s">
        <v>249</v>
      </c>
      <c r="B137" s="21">
        <v>117</v>
      </c>
      <c r="C137" s="21">
        <v>1</v>
      </c>
      <c r="D137" s="20">
        <v>2110</v>
      </c>
      <c r="E137" s="21">
        <v>11</v>
      </c>
      <c r="F137" s="61" t="s">
        <v>90</v>
      </c>
      <c r="G137" s="62" t="s">
        <v>131</v>
      </c>
    </row>
    <row r="138" spans="1:7" x14ac:dyDescent="0.3">
      <c r="A138" s="15" t="s">
        <v>250</v>
      </c>
      <c r="B138" s="17">
        <v>235</v>
      </c>
      <c r="C138" s="17">
        <v>1</v>
      </c>
      <c r="D138" s="16">
        <v>2110</v>
      </c>
      <c r="E138" s="17">
        <v>12</v>
      </c>
      <c r="F138" s="65" t="s">
        <v>90</v>
      </c>
      <c r="G138" s="60" t="s">
        <v>134</v>
      </c>
    </row>
    <row r="139" spans="1:7" x14ac:dyDescent="0.3">
      <c r="A139" s="19" t="s">
        <v>251</v>
      </c>
      <c r="B139" s="21">
        <v>102</v>
      </c>
      <c r="C139" s="21">
        <v>1</v>
      </c>
      <c r="D139" s="20">
        <v>2110</v>
      </c>
      <c r="E139" s="21">
        <v>10</v>
      </c>
      <c r="F139" s="61" t="s">
        <v>90</v>
      </c>
      <c r="G139" s="62" t="s">
        <v>140</v>
      </c>
    </row>
    <row r="140" spans="1:7" x14ac:dyDescent="0.3">
      <c r="A140" s="15" t="s">
        <v>252</v>
      </c>
      <c r="B140" s="17">
        <v>67</v>
      </c>
      <c r="C140" s="17">
        <v>1</v>
      </c>
      <c r="D140" s="16">
        <v>2110</v>
      </c>
      <c r="E140" s="17">
        <v>11</v>
      </c>
      <c r="F140" s="65" t="s">
        <v>90</v>
      </c>
      <c r="G140" s="60" t="s">
        <v>197</v>
      </c>
    </row>
    <row r="141" spans="1:7" x14ac:dyDescent="0.3">
      <c r="A141" s="19" t="s">
        <v>253</v>
      </c>
      <c r="B141" s="21">
        <v>129</v>
      </c>
      <c r="C141" s="21">
        <v>1</v>
      </c>
      <c r="D141" s="20">
        <v>2110</v>
      </c>
      <c r="E141" s="63">
        <v>13</v>
      </c>
      <c r="F141" s="66" t="s">
        <v>89</v>
      </c>
      <c r="G141" s="62" t="s">
        <v>147</v>
      </c>
    </row>
    <row r="142" spans="1:7" x14ac:dyDescent="0.3">
      <c r="A142" s="15" t="s">
        <v>254</v>
      </c>
      <c r="B142" s="17">
        <v>470</v>
      </c>
      <c r="C142" s="17">
        <v>1</v>
      </c>
      <c r="D142" s="16">
        <v>2109.9</v>
      </c>
      <c r="E142" s="17">
        <v>10</v>
      </c>
      <c r="F142" s="65" t="s">
        <v>90</v>
      </c>
      <c r="G142" s="60" t="s">
        <v>166</v>
      </c>
    </row>
    <row r="143" spans="1:7" x14ac:dyDescent="0.3">
      <c r="A143" s="19" t="s">
        <v>255</v>
      </c>
      <c r="B143" s="21">
        <v>142</v>
      </c>
      <c r="C143" s="21">
        <v>2</v>
      </c>
      <c r="D143" s="20">
        <v>2108</v>
      </c>
      <c r="E143" s="63">
        <v>14</v>
      </c>
      <c r="F143" s="66" t="s">
        <v>89</v>
      </c>
      <c r="G143" s="62" t="s">
        <v>120</v>
      </c>
    </row>
    <row r="144" spans="1:7" x14ac:dyDescent="0.3">
      <c r="A144" s="15" t="s">
        <v>256</v>
      </c>
      <c r="B144" s="17">
        <v>385</v>
      </c>
      <c r="C144" s="17">
        <v>1</v>
      </c>
      <c r="D144" s="16">
        <v>2096.94</v>
      </c>
      <c r="E144" s="17">
        <v>8</v>
      </c>
      <c r="F144" s="59" t="s">
        <v>91</v>
      </c>
      <c r="G144" s="60" t="s">
        <v>127</v>
      </c>
    </row>
    <row r="145" spans="1:7" x14ac:dyDescent="0.3">
      <c r="A145" s="19" t="s">
        <v>257</v>
      </c>
      <c r="B145" s="21">
        <v>25</v>
      </c>
      <c r="C145" s="21">
        <v>1</v>
      </c>
      <c r="D145" s="20">
        <v>2090</v>
      </c>
      <c r="E145" s="63">
        <v>15</v>
      </c>
      <c r="F145" s="66" t="s">
        <v>89</v>
      </c>
      <c r="G145" s="62" t="s">
        <v>118</v>
      </c>
    </row>
    <row r="146" spans="1:7" x14ac:dyDescent="0.3">
      <c r="A146" s="15" t="s">
        <v>258</v>
      </c>
      <c r="B146" s="17">
        <v>78</v>
      </c>
      <c r="C146" s="17">
        <v>1</v>
      </c>
      <c r="D146" s="16">
        <v>2090</v>
      </c>
      <c r="E146" s="17">
        <v>12</v>
      </c>
      <c r="F146" s="65" t="s">
        <v>90</v>
      </c>
      <c r="G146" s="60" t="s">
        <v>109</v>
      </c>
    </row>
    <row r="147" spans="1:7" x14ac:dyDescent="0.3">
      <c r="A147" s="19" t="s">
        <v>259</v>
      </c>
      <c r="B147" s="21">
        <v>295</v>
      </c>
      <c r="C147" s="21">
        <v>1</v>
      </c>
      <c r="D147" s="20">
        <v>2078.5</v>
      </c>
      <c r="E147" s="21">
        <v>8</v>
      </c>
      <c r="F147" s="67" t="s">
        <v>91</v>
      </c>
      <c r="G147" s="62" t="s">
        <v>102</v>
      </c>
    </row>
    <row r="148" spans="1:7" x14ac:dyDescent="0.3">
      <c r="A148" s="15" t="s">
        <v>260</v>
      </c>
      <c r="B148" s="17">
        <v>141</v>
      </c>
      <c r="C148" s="17">
        <v>1</v>
      </c>
      <c r="D148" s="16">
        <v>2070</v>
      </c>
      <c r="E148" s="17">
        <v>12</v>
      </c>
      <c r="F148" s="65" t="s">
        <v>90</v>
      </c>
      <c r="G148" s="60" t="s">
        <v>183</v>
      </c>
    </row>
    <row r="149" spans="1:7" x14ac:dyDescent="0.3">
      <c r="A149" s="19" t="s">
        <v>261</v>
      </c>
      <c r="B149" s="21">
        <v>124</v>
      </c>
      <c r="C149" s="21">
        <v>1</v>
      </c>
      <c r="D149" s="20">
        <v>2070</v>
      </c>
      <c r="E149" s="21">
        <v>10</v>
      </c>
      <c r="F149" s="61" t="s">
        <v>90</v>
      </c>
      <c r="G149" s="62" t="s">
        <v>140</v>
      </c>
    </row>
    <row r="150" spans="1:7" x14ac:dyDescent="0.3">
      <c r="A150" s="15" t="s">
        <v>262</v>
      </c>
      <c r="B150" s="17">
        <v>98</v>
      </c>
      <c r="C150" s="17">
        <v>1</v>
      </c>
      <c r="D150" s="16">
        <v>2062.9899999999998</v>
      </c>
      <c r="E150" s="17">
        <v>12</v>
      </c>
      <c r="F150" s="65" t="s">
        <v>90</v>
      </c>
      <c r="G150" s="60" t="s">
        <v>183</v>
      </c>
    </row>
    <row r="151" spans="1:7" x14ac:dyDescent="0.3">
      <c r="A151" s="19" t="s">
        <v>263</v>
      </c>
      <c r="B151" s="21">
        <v>217</v>
      </c>
      <c r="C151" s="21">
        <v>1</v>
      </c>
      <c r="D151" s="20">
        <v>2029</v>
      </c>
      <c r="E151" s="21">
        <v>10</v>
      </c>
      <c r="F151" s="61" t="s">
        <v>90</v>
      </c>
      <c r="G151" s="62" t="s">
        <v>149</v>
      </c>
    </row>
    <row r="152" spans="1:7" x14ac:dyDescent="0.3">
      <c r="A152" s="15" t="s">
        <v>264</v>
      </c>
      <c r="B152" s="17">
        <v>286</v>
      </c>
      <c r="C152" s="17">
        <v>1</v>
      </c>
      <c r="D152" s="16">
        <v>2029</v>
      </c>
      <c r="E152" s="17">
        <v>9</v>
      </c>
      <c r="F152" s="59" t="s">
        <v>91</v>
      </c>
      <c r="G152" s="60" t="s">
        <v>112</v>
      </c>
    </row>
    <row r="153" spans="1:7" x14ac:dyDescent="0.3">
      <c r="A153" s="19" t="s">
        <v>265</v>
      </c>
      <c r="B153" s="21">
        <v>22</v>
      </c>
      <c r="C153" s="21">
        <v>1</v>
      </c>
      <c r="D153" s="20">
        <v>2029</v>
      </c>
      <c r="E153" s="63">
        <v>15</v>
      </c>
      <c r="F153" s="66" t="s">
        <v>89</v>
      </c>
      <c r="G153" s="62" t="s">
        <v>118</v>
      </c>
    </row>
    <row r="154" spans="1:7" x14ac:dyDescent="0.3">
      <c r="A154" s="15" t="s">
        <v>266</v>
      </c>
      <c r="B154" s="17">
        <v>302</v>
      </c>
      <c r="C154" s="17">
        <v>2</v>
      </c>
      <c r="D154" s="16">
        <v>2009.98</v>
      </c>
      <c r="E154" s="17">
        <v>12</v>
      </c>
      <c r="F154" s="65" t="s">
        <v>90</v>
      </c>
      <c r="G154" s="60" t="s">
        <v>171</v>
      </c>
    </row>
    <row r="155" spans="1:7" x14ac:dyDescent="0.3">
      <c r="A155" s="19" t="s">
        <v>267</v>
      </c>
      <c r="B155" s="21">
        <v>188</v>
      </c>
      <c r="C155" s="21">
        <v>1</v>
      </c>
      <c r="D155" s="20">
        <v>2000</v>
      </c>
      <c r="E155" s="21">
        <v>12</v>
      </c>
      <c r="F155" s="61" t="s">
        <v>90</v>
      </c>
      <c r="G155" s="62" t="s">
        <v>134</v>
      </c>
    </row>
    <row r="156" spans="1:7" x14ac:dyDescent="0.3">
      <c r="A156" s="15" t="s">
        <v>268</v>
      </c>
      <c r="B156" s="17">
        <v>435</v>
      </c>
      <c r="C156" s="17">
        <v>1</v>
      </c>
      <c r="D156" s="16">
        <v>1999.99</v>
      </c>
      <c r="E156" s="17">
        <v>11</v>
      </c>
      <c r="F156" s="65" t="s">
        <v>90</v>
      </c>
      <c r="G156" s="60" t="s">
        <v>104</v>
      </c>
    </row>
    <row r="157" spans="1:7" x14ac:dyDescent="0.3">
      <c r="A157" s="19" t="s">
        <v>269</v>
      </c>
      <c r="B157" s="21">
        <v>442</v>
      </c>
      <c r="C157" s="21">
        <v>1</v>
      </c>
      <c r="D157" s="20">
        <v>1999.99</v>
      </c>
      <c r="E157" s="21">
        <v>10</v>
      </c>
      <c r="F157" s="61" t="s">
        <v>90</v>
      </c>
      <c r="G157" s="62" t="s">
        <v>166</v>
      </c>
    </row>
    <row r="158" spans="1:7" x14ac:dyDescent="0.3">
      <c r="A158" s="15" t="s">
        <v>270</v>
      </c>
      <c r="B158" s="17">
        <v>408</v>
      </c>
      <c r="C158" s="17">
        <v>1</v>
      </c>
      <c r="D158" s="16">
        <v>1999.99</v>
      </c>
      <c r="E158" s="17">
        <v>8</v>
      </c>
      <c r="F158" s="59" t="s">
        <v>91</v>
      </c>
      <c r="G158" s="60" t="s">
        <v>127</v>
      </c>
    </row>
    <row r="159" spans="1:7" x14ac:dyDescent="0.3">
      <c r="A159" s="19" t="s">
        <v>271</v>
      </c>
      <c r="B159" s="21">
        <v>407</v>
      </c>
      <c r="C159" s="21">
        <v>1</v>
      </c>
      <c r="D159" s="20">
        <v>1999.99</v>
      </c>
      <c r="E159" s="21">
        <v>7</v>
      </c>
      <c r="F159" s="67" t="s">
        <v>91</v>
      </c>
      <c r="G159" s="62" t="s">
        <v>124</v>
      </c>
    </row>
    <row r="160" spans="1:7" x14ac:dyDescent="0.3">
      <c r="A160" s="15" t="s">
        <v>272</v>
      </c>
      <c r="B160" s="17">
        <v>438</v>
      </c>
      <c r="C160" s="17">
        <v>1</v>
      </c>
      <c r="D160" s="16">
        <v>1999.99</v>
      </c>
      <c r="E160" s="17">
        <v>8</v>
      </c>
      <c r="F160" s="59" t="s">
        <v>91</v>
      </c>
      <c r="G160" s="60" t="s">
        <v>127</v>
      </c>
    </row>
    <row r="161" spans="1:7" x14ac:dyDescent="0.3">
      <c r="A161" s="19" t="s">
        <v>273</v>
      </c>
      <c r="B161" s="21">
        <v>441</v>
      </c>
      <c r="C161" s="21">
        <v>1</v>
      </c>
      <c r="D161" s="20">
        <v>1999.99</v>
      </c>
      <c r="E161" s="21">
        <v>10</v>
      </c>
      <c r="F161" s="61" t="s">
        <v>90</v>
      </c>
      <c r="G161" s="62" t="s">
        <v>166</v>
      </c>
    </row>
    <row r="162" spans="1:7" x14ac:dyDescent="0.3">
      <c r="A162" s="15" t="s">
        <v>274</v>
      </c>
      <c r="B162" s="17">
        <v>437</v>
      </c>
      <c r="C162" s="17">
        <v>1</v>
      </c>
      <c r="D162" s="16">
        <v>1999.99</v>
      </c>
      <c r="E162" s="17">
        <v>7</v>
      </c>
      <c r="F162" s="59" t="s">
        <v>91</v>
      </c>
      <c r="G162" s="60" t="s">
        <v>124</v>
      </c>
    </row>
    <row r="163" spans="1:7" x14ac:dyDescent="0.3">
      <c r="A163" s="19" t="s">
        <v>275</v>
      </c>
      <c r="B163" s="21">
        <v>440</v>
      </c>
      <c r="C163" s="21">
        <v>1</v>
      </c>
      <c r="D163" s="20">
        <v>1999.99</v>
      </c>
      <c r="E163" s="21">
        <v>7</v>
      </c>
      <c r="F163" s="67" t="s">
        <v>91</v>
      </c>
      <c r="G163" s="62" t="s">
        <v>124</v>
      </c>
    </row>
    <row r="164" spans="1:7" x14ac:dyDescent="0.3">
      <c r="A164" s="15" t="s">
        <v>276</v>
      </c>
      <c r="B164" s="17">
        <v>13</v>
      </c>
      <c r="C164" s="17">
        <v>1</v>
      </c>
      <c r="D164" s="16">
        <v>1999.99</v>
      </c>
      <c r="E164" s="63">
        <v>13</v>
      </c>
      <c r="F164" s="64" t="s">
        <v>89</v>
      </c>
      <c r="G164" s="60" t="s">
        <v>106</v>
      </c>
    </row>
    <row r="165" spans="1:7" x14ac:dyDescent="0.3">
      <c r="A165" s="19" t="s">
        <v>277</v>
      </c>
      <c r="B165" s="21">
        <v>437</v>
      </c>
      <c r="C165" s="21">
        <v>1</v>
      </c>
      <c r="D165" s="20">
        <v>1999.99</v>
      </c>
      <c r="E165" s="21">
        <v>10</v>
      </c>
      <c r="F165" s="61" t="s">
        <v>90</v>
      </c>
      <c r="G165" s="62" t="s">
        <v>166</v>
      </c>
    </row>
    <row r="166" spans="1:7" x14ac:dyDescent="0.3">
      <c r="A166" s="15" t="s">
        <v>278</v>
      </c>
      <c r="B166" s="17">
        <v>438</v>
      </c>
      <c r="C166" s="17">
        <v>1</v>
      </c>
      <c r="D166" s="16">
        <v>1999.99</v>
      </c>
      <c r="E166" s="17">
        <v>9</v>
      </c>
      <c r="F166" s="59" t="s">
        <v>91</v>
      </c>
      <c r="G166" s="60" t="s">
        <v>136</v>
      </c>
    </row>
    <row r="167" spans="1:7" x14ac:dyDescent="0.3">
      <c r="A167" s="19" t="s">
        <v>279</v>
      </c>
      <c r="B167" s="21">
        <v>57</v>
      </c>
      <c r="C167" s="21">
        <v>1</v>
      </c>
      <c r="D167" s="20">
        <v>1999.99</v>
      </c>
      <c r="E167" s="63">
        <v>13</v>
      </c>
      <c r="F167" s="66" t="s">
        <v>89</v>
      </c>
      <c r="G167" s="62" t="s">
        <v>106</v>
      </c>
    </row>
    <row r="168" spans="1:7" x14ac:dyDescent="0.3">
      <c r="A168" s="15" t="s">
        <v>280</v>
      </c>
      <c r="B168" s="17">
        <v>15</v>
      </c>
      <c r="C168" s="17">
        <v>1</v>
      </c>
      <c r="D168" s="16">
        <v>1999.98</v>
      </c>
      <c r="E168" s="17">
        <v>11</v>
      </c>
      <c r="F168" s="65" t="s">
        <v>90</v>
      </c>
      <c r="G168" s="60" t="s">
        <v>197</v>
      </c>
    </row>
    <row r="169" spans="1:7" x14ac:dyDescent="0.3">
      <c r="A169" s="19" t="s">
        <v>281</v>
      </c>
      <c r="B169" s="21">
        <v>262</v>
      </c>
      <c r="C169" s="21">
        <v>1</v>
      </c>
      <c r="D169" s="20">
        <v>1999.9</v>
      </c>
      <c r="E169" s="21">
        <v>9</v>
      </c>
      <c r="F169" s="67" t="s">
        <v>91</v>
      </c>
      <c r="G169" s="62" t="s">
        <v>191</v>
      </c>
    </row>
    <row r="170" spans="1:7" x14ac:dyDescent="0.3">
      <c r="A170" s="15" t="s">
        <v>282</v>
      </c>
      <c r="B170" s="17">
        <v>282</v>
      </c>
      <c r="C170" s="17">
        <v>1</v>
      </c>
      <c r="D170" s="16">
        <v>1999.9</v>
      </c>
      <c r="E170" s="17">
        <v>10</v>
      </c>
      <c r="F170" s="65" t="s">
        <v>90</v>
      </c>
      <c r="G170" s="60" t="s">
        <v>154</v>
      </c>
    </row>
    <row r="171" spans="1:7" x14ac:dyDescent="0.3">
      <c r="A171" s="19" t="s">
        <v>283</v>
      </c>
      <c r="B171" s="21">
        <v>178</v>
      </c>
      <c r="C171" s="21">
        <v>1</v>
      </c>
      <c r="D171" s="20">
        <v>1999.9</v>
      </c>
      <c r="E171" s="21">
        <v>9</v>
      </c>
      <c r="F171" s="67" t="s">
        <v>91</v>
      </c>
      <c r="G171" s="62" t="s">
        <v>191</v>
      </c>
    </row>
    <row r="172" spans="1:7" x14ac:dyDescent="0.3">
      <c r="A172" s="15" t="s">
        <v>284</v>
      </c>
      <c r="B172" s="17">
        <v>18</v>
      </c>
      <c r="C172" s="17">
        <v>1</v>
      </c>
      <c r="D172" s="16">
        <v>1999.9</v>
      </c>
      <c r="E172" s="17">
        <v>12</v>
      </c>
      <c r="F172" s="65" t="s">
        <v>90</v>
      </c>
      <c r="G172" s="60" t="s">
        <v>109</v>
      </c>
    </row>
    <row r="173" spans="1:7" x14ac:dyDescent="0.3">
      <c r="A173" s="19" t="s">
        <v>285</v>
      </c>
      <c r="B173" s="21">
        <v>117</v>
      </c>
      <c r="C173" s="21">
        <v>1</v>
      </c>
      <c r="D173" s="20">
        <v>1999.9</v>
      </c>
      <c r="E173" s="21">
        <v>12</v>
      </c>
      <c r="F173" s="61" t="s">
        <v>90</v>
      </c>
      <c r="G173" s="62" t="s">
        <v>183</v>
      </c>
    </row>
    <row r="174" spans="1:7" x14ac:dyDescent="0.3">
      <c r="A174" s="15" t="s">
        <v>286</v>
      </c>
      <c r="B174" s="17">
        <v>14</v>
      </c>
      <c r="C174" s="17">
        <v>1</v>
      </c>
      <c r="D174" s="16">
        <v>1999</v>
      </c>
      <c r="E174" s="63">
        <v>13</v>
      </c>
      <c r="F174" s="64" t="s">
        <v>89</v>
      </c>
      <c r="G174" s="60" t="s">
        <v>106</v>
      </c>
    </row>
    <row r="175" spans="1:7" x14ac:dyDescent="0.3">
      <c r="A175" s="19" t="s">
        <v>287</v>
      </c>
      <c r="B175" s="21">
        <v>379</v>
      </c>
      <c r="C175" s="21">
        <v>1</v>
      </c>
      <c r="D175" s="20">
        <v>1999</v>
      </c>
      <c r="E175" s="21">
        <v>10</v>
      </c>
      <c r="F175" s="61" t="s">
        <v>90</v>
      </c>
      <c r="G175" s="62" t="s">
        <v>154</v>
      </c>
    </row>
    <row r="176" spans="1:7" x14ac:dyDescent="0.3">
      <c r="A176" s="15" t="s">
        <v>288</v>
      </c>
      <c r="B176" s="17">
        <v>285</v>
      </c>
      <c r="C176" s="17">
        <v>1</v>
      </c>
      <c r="D176" s="16">
        <v>1999</v>
      </c>
      <c r="E176" s="17">
        <v>11</v>
      </c>
      <c r="F176" s="65" t="s">
        <v>90</v>
      </c>
      <c r="G176" s="60" t="s">
        <v>156</v>
      </c>
    </row>
    <row r="177" spans="1:7" x14ac:dyDescent="0.3">
      <c r="A177" s="19" t="s">
        <v>289</v>
      </c>
      <c r="B177" s="21">
        <v>127</v>
      </c>
      <c r="C177" s="21">
        <v>1</v>
      </c>
      <c r="D177" s="20">
        <v>1999</v>
      </c>
      <c r="E177" s="63">
        <v>13</v>
      </c>
      <c r="F177" s="66" t="s">
        <v>89</v>
      </c>
      <c r="G177" s="62" t="s">
        <v>147</v>
      </c>
    </row>
    <row r="178" spans="1:7" x14ac:dyDescent="0.3">
      <c r="A178" s="15" t="s">
        <v>290</v>
      </c>
      <c r="B178" s="17">
        <v>145</v>
      </c>
      <c r="C178" s="17">
        <v>1</v>
      </c>
      <c r="D178" s="16">
        <v>1999</v>
      </c>
      <c r="E178" s="17">
        <v>12</v>
      </c>
      <c r="F178" s="65" t="s">
        <v>90</v>
      </c>
      <c r="G178" s="60" t="s">
        <v>183</v>
      </c>
    </row>
    <row r="179" spans="1:7" x14ac:dyDescent="0.3">
      <c r="A179" s="19" t="s">
        <v>291</v>
      </c>
      <c r="B179" s="21">
        <v>275</v>
      </c>
      <c r="C179" s="21">
        <v>1</v>
      </c>
      <c r="D179" s="20">
        <v>1999</v>
      </c>
      <c r="E179" s="21">
        <v>10</v>
      </c>
      <c r="F179" s="61" t="s">
        <v>90</v>
      </c>
      <c r="G179" s="62" t="s">
        <v>154</v>
      </c>
    </row>
    <row r="180" spans="1:7" x14ac:dyDescent="0.3">
      <c r="A180" s="15" t="s">
        <v>292</v>
      </c>
      <c r="B180" s="17">
        <v>305</v>
      </c>
      <c r="C180" s="17">
        <v>1</v>
      </c>
      <c r="D180" s="16">
        <v>1999</v>
      </c>
      <c r="E180" s="17">
        <v>8</v>
      </c>
      <c r="F180" s="59" t="s">
        <v>91</v>
      </c>
      <c r="G180" s="60" t="s">
        <v>102</v>
      </c>
    </row>
    <row r="181" spans="1:7" x14ac:dyDescent="0.3">
      <c r="A181" s="19" t="s">
        <v>293</v>
      </c>
      <c r="B181" s="21">
        <v>579</v>
      </c>
      <c r="C181" s="21">
        <v>1</v>
      </c>
      <c r="D181" s="20">
        <v>1999</v>
      </c>
      <c r="E181" s="21">
        <v>9</v>
      </c>
      <c r="F181" s="67" t="s">
        <v>91</v>
      </c>
      <c r="G181" s="62" t="s">
        <v>136</v>
      </c>
    </row>
    <row r="182" spans="1:7" x14ac:dyDescent="0.3">
      <c r="A182" s="15" t="s">
        <v>294</v>
      </c>
      <c r="B182" s="17">
        <v>515</v>
      </c>
      <c r="C182" s="17">
        <v>1</v>
      </c>
      <c r="D182" s="16">
        <v>1999</v>
      </c>
      <c r="E182" s="17">
        <v>11</v>
      </c>
      <c r="F182" s="65" t="s">
        <v>90</v>
      </c>
      <c r="G182" s="60" t="s">
        <v>104</v>
      </c>
    </row>
    <row r="183" spans="1:7" x14ac:dyDescent="0.3">
      <c r="A183" s="19" t="s">
        <v>295</v>
      </c>
      <c r="B183" s="21">
        <v>59</v>
      </c>
      <c r="C183" s="21">
        <v>1</v>
      </c>
      <c r="D183" s="20">
        <v>1999</v>
      </c>
      <c r="E183" s="63">
        <v>14</v>
      </c>
      <c r="F183" s="66" t="s">
        <v>89</v>
      </c>
      <c r="G183" s="62" t="s">
        <v>116</v>
      </c>
    </row>
    <row r="184" spans="1:7" x14ac:dyDescent="0.3">
      <c r="A184" s="15" t="s">
        <v>296</v>
      </c>
      <c r="B184" s="17">
        <v>142</v>
      </c>
      <c r="C184" s="17">
        <v>1</v>
      </c>
      <c r="D184" s="16">
        <v>1999</v>
      </c>
      <c r="E184" s="63">
        <v>14</v>
      </c>
      <c r="F184" s="64" t="s">
        <v>89</v>
      </c>
      <c r="G184" s="60" t="s">
        <v>120</v>
      </c>
    </row>
    <row r="185" spans="1:7" x14ac:dyDescent="0.3">
      <c r="A185" s="19" t="s">
        <v>297</v>
      </c>
      <c r="B185" s="21">
        <v>79</v>
      </c>
      <c r="C185" s="21">
        <v>1</v>
      </c>
      <c r="D185" s="20">
        <v>1999</v>
      </c>
      <c r="E185" s="63">
        <v>14</v>
      </c>
      <c r="F185" s="66" t="s">
        <v>89</v>
      </c>
      <c r="G185" s="62" t="s">
        <v>116</v>
      </c>
    </row>
    <row r="186" spans="1:7" x14ac:dyDescent="0.3">
      <c r="A186" s="15" t="s">
        <v>298</v>
      </c>
      <c r="B186" s="17">
        <v>279</v>
      </c>
      <c r="C186" s="17">
        <v>1</v>
      </c>
      <c r="D186" s="16">
        <v>1997</v>
      </c>
      <c r="E186" s="17">
        <v>11</v>
      </c>
      <c r="F186" s="65" t="s">
        <v>90</v>
      </c>
      <c r="G186" s="60" t="s">
        <v>156</v>
      </c>
    </row>
    <row r="187" spans="1:7" x14ac:dyDescent="0.3">
      <c r="A187" s="19" t="s">
        <v>299</v>
      </c>
      <c r="B187" s="21">
        <v>213</v>
      </c>
      <c r="C187" s="21">
        <v>1</v>
      </c>
      <c r="D187" s="20">
        <v>1997</v>
      </c>
      <c r="E187" s="63">
        <v>13</v>
      </c>
      <c r="F187" s="66" t="s">
        <v>89</v>
      </c>
      <c r="G187" s="62" t="s">
        <v>188</v>
      </c>
    </row>
    <row r="188" spans="1:7" x14ac:dyDescent="0.3">
      <c r="A188" s="15" t="s">
        <v>300</v>
      </c>
      <c r="B188" s="17">
        <v>230</v>
      </c>
      <c r="C188" s="17">
        <v>1</v>
      </c>
      <c r="D188" s="16">
        <v>1997</v>
      </c>
      <c r="E188" s="17">
        <v>10</v>
      </c>
      <c r="F188" s="65" t="s">
        <v>90</v>
      </c>
      <c r="G188" s="60" t="s">
        <v>149</v>
      </c>
    </row>
    <row r="189" spans="1:7" x14ac:dyDescent="0.3">
      <c r="A189" s="19" t="s">
        <v>301</v>
      </c>
      <c r="B189" s="21">
        <v>226</v>
      </c>
      <c r="C189" s="21">
        <v>1</v>
      </c>
      <c r="D189" s="20">
        <v>1997</v>
      </c>
      <c r="E189" s="21">
        <v>10</v>
      </c>
      <c r="F189" s="61" t="s">
        <v>90</v>
      </c>
      <c r="G189" s="62" t="s">
        <v>149</v>
      </c>
    </row>
    <row r="190" spans="1:7" x14ac:dyDescent="0.3">
      <c r="A190" s="15" t="s">
        <v>302</v>
      </c>
      <c r="B190" s="17">
        <v>181</v>
      </c>
      <c r="C190" s="17">
        <v>1</v>
      </c>
      <c r="D190" s="16">
        <v>1995</v>
      </c>
      <c r="E190" s="17">
        <v>10</v>
      </c>
      <c r="F190" s="65" t="s">
        <v>90</v>
      </c>
      <c r="G190" s="60" t="s">
        <v>149</v>
      </c>
    </row>
    <row r="191" spans="1:7" x14ac:dyDescent="0.3">
      <c r="A191" s="19" t="s">
        <v>303</v>
      </c>
      <c r="B191" s="21">
        <v>109</v>
      </c>
      <c r="C191" s="21">
        <v>1</v>
      </c>
      <c r="D191" s="20">
        <v>1990</v>
      </c>
      <c r="E191" s="21">
        <v>12</v>
      </c>
      <c r="F191" s="61" t="s">
        <v>90</v>
      </c>
      <c r="G191" s="62" t="s">
        <v>183</v>
      </c>
    </row>
    <row r="192" spans="1:7" x14ac:dyDescent="0.3">
      <c r="A192" s="15" t="s">
        <v>304</v>
      </c>
      <c r="B192" s="17">
        <v>308</v>
      </c>
      <c r="C192" s="17">
        <v>1</v>
      </c>
      <c r="D192" s="16">
        <v>1989</v>
      </c>
      <c r="E192" s="17">
        <v>9</v>
      </c>
      <c r="F192" s="59" t="s">
        <v>91</v>
      </c>
      <c r="G192" s="60" t="s">
        <v>112</v>
      </c>
    </row>
    <row r="193" spans="1:7" x14ac:dyDescent="0.3">
      <c r="A193" s="19" t="s">
        <v>305</v>
      </c>
      <c r="B193" s="21">
        <v>325</v>
      </c>
      <c r="C193" s="21">
        <v>1</v>
      </c>
      <c r="D193" s="20">
        <v>1989</v>
      </c>
      <c r="E193" s="21">
        <v>11</v>
      </c>
      <c r="F193" s="61" t="s">
        <v>90</v>
      </c>
      <c r="G193" s="62" t="s">
        <v>156</v>
      </c>
    </row>
    <row r="194" spans="1:7" x14ac:dyDescent="0.3">
      <c r="A194" s="15" t="s">
        <v>306</v>
      </c>
      <c r="B194" s="17">
        <v>316</v>
      </c>
      <c r="C194" s="17">
        <v>1</v>
      </c>
      <c r="D194" s="16">
        <v>1989</v>
      </c>
      <c r="E194" s="17">
        <v>9</v>
      </c>
      <c r="F194" s="59" t="s">
        <v>91</v>
      </c>
      <c r="G194" s="60" t="s">
        <v>112</v>
      </c>
    </row>
    <row r="195" spans="1:7" x14ac:dyDescent="0.3">
      <c r="A195" s="19" t="s">
        <v>307</v>
      </c>
      <c r="B195" s="21">
        <v>310</v>
      </c>
      <c r="C195" s="21">
        <v>1</v>
      </c>
      <c r="D195" s="20">
        <v>1989</v>
      </c>
      <c r="E195" s="21">
        <v>10</v>
      </c>
      <c r="F195" s="61" t="s">
        <v>90</v>
      </c>
      <c r="G195" s="62" t="s">
        <v>154</v>
      </c>
    </row>
    <row r="196" spans="1:7" x14ac:dyDescent="0.3">
      <c r="A196" s="15" t="s">
        <v>308</v>
      </c>
      <c r="B196" s="17">
        <v>12</v>
      </c>
      <c r="C196" s="17">
        <v>1</v>
      </c>
      <c r="D196" s="16">
        <v>1988</v>
      </c>
      <c r="E196" s="63">
        <v>14</v>
      </c>
      <c r="F196" s="64" t="s">
        <v>89</v>
      </c>
      <c r="G196" s="60" t="s">
        <v>116</v>
      </c>
    </row>
    <row r="197" spans="1:7" x14ac:dyDescent="0.3">
      <c r="A197" s="19" t="s">
        <v>309</v>
      </c>
      <c r="B197" s="21">
        <v>231</v>
      </c>
      <c r="C197" s="21">
        <v>3</v>
      </c>
      <c r="D197" s="20">
        <v>1980.28</v>
      </c>
      <c r="E197" s="63">
        <v>13</v>
      </c>
      <c r="F197" s="66" t="s">
        <v>89</v>
      </c>
      <c r="G197" s="62" t="s">
        <v>188</v>
      </c>
    </row>
    <row r="198" spans="1:7" x14ac:dyDescent="0.3">
      <c r="A198" s="15" t="s">
        <v>310</v>
      </c>
      <c r="B198" s="17">
        <v>318</v>
      </c>
      <c r="C198" s="17">
        <v>1</v>
      </c>
      <c r="D198" s="16">
        <v>1980</v>
      </c>
      <c r="E198" s="17">
        <v>8</v>
      </c>
      <c r="F198" s="59" t="s">
        <v>91</v>
      </c>
      <c r="G198" s="60" t="s">
        <v>102</v>
      </c>
    </row>
    <row r="199" spans="1:7" x14ac:dyDescent="0.3">
      <c r="A199" s="19" t="s">
        <v>311</v>
      </c>
      <c r="B199" s="21">
        <v>354</v>
      </c>
      <c r="C199" s="21">
        <v>1</v>
      </c>
      <c r="D199" s="20">
        <v>1980</v>
      </c>
      <c r="E199" s="21">
        <v>9</v>
      </c>
      <c r="F199" s="67" t="s">
        <v>91</v>
      </c>
      <c r="G199" s="62" t="s">
        <v>112</v>
      </c>
    </row>
    <row r="200" spans="1:7" x14ac:dyDescent="0.3">
      <c r="A200" s="15" t="s">
        <v>312</v>
      </c>
      <c r="B200" s="17">
        <v>71</v>
      </c>
      <c r="C200" s="17">
        <v>1</v>
      </c>
      <c r="D200" s="16">
        <v>1977</v>
      </c>
      <c r="E200" s="63">
        <v>15</v>
      </c>
      <c r="F200" s="64" t="s">
        <v>89</v>
      </c>
      <c r="G200" s="60" t="s">
        <v>118</v>
      </c>
    </row>
    <row r="201" spans="1:7" x14ac:dyDescent="0.3">
      <c r="A201" s="19" t="s">
        <v>313</v>
      </c>
      <c r="B201" s="21">
        <v>372</v>
      </c>
      <c r="C201" s="21">
        <v>1</v>
      </c>
      <c r="D201" s="20">
        <v>1974</v>
      </c>
      <c r="E201" s="21">
        <v>10</v>
      </c>
      <c r="F201" s="61" t="s">
        <v>90</v>
      </c>
      <c r="G201" s="62" t="s">
        <v>154</v>
      </c>
    </row>
    <row r="202" spans="1:7" x14ac:dyDescent="0.3">
      <c r="A202" s="15" t="s">
        <v>314</v>
      </c>
      <c r="B202" s="17">
        <v>97</v>
      </c>
      <c r="C202" s="17">
        <v>1</v>
      </c>
      <c r="D202" s="16">
        <v>1970</v>
      </c>
      <c r="E202" s="17">
        <v>12</v>
      </c>
      <c r="F202" s="65" t="s">
        <v>90</v>
      </c>
      <c r="G202" s="60" t="s">
        <v>183</v>
      </c>
    </row>
    <row r="203" spans="1:7" x14ac:dyDescent="0.3">
      <c r="A203" s="19" t="s">
        <v>315</v>
      </c>
      <c r="B203" s="21">
        <v>514</v>
      </c>
      <c r="C203" s="21">
        <v>1</v>
      </c>
      <c r="D203" s="20">
        <v>1964</v>
      </c>
      <c r="E203" s="21">
        <v>7</v>
      </c>
      <c r="F203" s="67" t="s">
        <v>91</v>
      </c>
      <c r="G203" s="62" t="s">
        <v>124</v>
      </c>
    </row>
    <row r="204" spans="1:7" x14ac:dyDescent="0.3">
      <c r="A204" s="15" t="s">
        <v>316</v>
      </c>
      <c r="B204" s="17">
        <v>526</v>
      </c>
      <c r="C204" s="17">
        <v>1</v>
      </c>
      <c r="D204" s="16">
        <v>1949.9</v>
      </c>
      <c r="E204" s="17">
        <v>11</v>
      </c>
      <c r="F204" s="65" t="s">
        <v>90</v>
      </c>
      <c r="G204" s="60" t="s">
        <v>104</v>
      </c>
    </row>
    <row r="205" spans="1:7" x14ac:dyDescent="0.3">
      <c r="A205" s="19" t="s">
        <v>317</v>
      </c>
      <c r="B205" s="21">
        <v>577</v>
      </c>
      <c r="C205" s="21">
        <v>1</v>
      </c>
      <c r="D205" s="20">
        <v>1934</v>
      </c>
      <c r="E205" s="21">
        <v>9</v>
      </c>
      <c r="F205" s="67" t="s">
        <v>91</v>
      </c>
      <c r="G205" s="62" t="s">
        <v>136</v>
      </c>
    </row>
    <row r="206" spans="1:7" x14ac:dyDescent="0.3">
      <c r="A206" s="15" t="s">
        <v>318</v>
      </c>
      <c r="B206" s="17">
        <v>93</v>
      </c>
      <c r="C206" s="17">
        <v>1</v>
      </c>
      <c r="D206" s="16">
        <v>1917.8</v>
      </c>
      <c r="E206" s="17">
        <v>12</v>
      </c>
      <c r="F206" s="65" t="s">
        <v>90</v>
      </c>
      <c r="G206" s="60" t="s">
        <v>183</v>
      </c>
    </row>
    <row r="207" spans="1:7" x14ac:dyDescent="0.3">
      <c r="A207" s="19" t="s">
        <v>319</v>
      </c>
      <c r="B207" s="21">
        <v>105</v>
      </c>
      <c r="C207" s="21">
        <v>1</v>
      </c>
      <c r="D207" s="20">
        <v>1914.58</v>
      </c>
      <c r="E207" s="21">
        <v>12</v>
      </c>
      <c r="F207" s="61" t="s">
        <v>90</v>
      </c>
      <c r="G207" s="62" t="s">
        <v>183</v>
      </c>
    </row>
    <row r="208" spans="1:7" x14ac:dyDescent="0.3">
      <c r="A208" s="15" t="s">
        <v>320</v>
      </c>
      <c r="B208" s="17">
        <v>149</v>
      </c>
      <c r="C208" s="17">
        <v>1</v>
      </c>
      <c r="D208" s="16">
        <v>1914.58</v>
      </c>
      <c r="E208" s="17">
        <v>10</v>
      </c>
      <c r="F208" s="65" t="s">
        <v>90</v>
      </c>
      <c r="G208" s="60" t="s">
        <v>140</v>
      </c>
    </row>
    <row r="209" spans="1:7" x14ac:dyDescent="0.3">
      <c r="A209" s="19" t="s">
        <v>321</v>
      </c>
      <c r="B209" s="21">
        <v>479</v>
      </c>
      <c r="C209" s="21">
        <v>1</v>
      </c>
      <c r="D209" s="20">
        <v>1899.12</v>
      </c>
      <c r="E209" s="21">
        <v>11</v>
      </c>
      <c r="F209" s="61" t="s">
        <v>90</v>
      </c>
      <c r="G209" s="62" t="s">
        <v>104</v>
      </c>
    </row>
    <row r="210" spans="1:7" x14ac:dyDescent="0.3">
      <c r="A210" s="15" t="s">
        <v>322</v>
      </c>
      <c r="B210" s="17">
        <v>464</v>
      </c>
      <c r="C210" s="17">
        <v>1</v>
      </c>
      <c r="D210" s="16">
        <v>1899.12</v>
      </c>
      <c r="E210" s="17">
        <v>11</v>
      </c>
      <c r="F210" s="65" t="s">
        <v>90</v>
      </c>
      <c r="G210" s="60" t="s">
        <v>104</v>
      </c>
    </row>
    <row r="211" spans="1:7" x14ac:dyDescent="0.3">
      <c r="A211" s="19" t="s">
        <v>323</v>
      </c>
      <c r="B211" s="21">
        <v>185</v>
      </c>
      <c r="C211" s="21">
        <v>1</v>
      </c>
      <c r="D211" s="20">
        <v>1899.05</v>
      </c>
      <c r="E211" s="21">
        <v>9</v>
      </c>
      <c r="F211" s="67" t="s">
        <v>91</v>
      </c>
      <c r="G211" s="62" t="s">
        <v>191</v>
      </c>
    </row>
    <row r="212" spans="1:7" x14ac:dyDescent="0.3">
      <c r="A212" s="15" t="s">
        <v>324</v>
      </c>
      <c r="B212" s="17">
        <v>79</v>
      </c>
      <c r="C212" s="17">
        <v>1</v>
      </c>
      <c r="D212" s="16">
        <v>1899</v>
      </c>
      <c r="E212" s="63">
        <v>15</v>
      </c>
      <c r="F212" s="64" t="s">
        <v>89</v>
      </c>
      <c r="G212" s="60" t="s">
        <v>118</v>
      </c>
    </row>
    <row r="213" spans="1:7" x14ac:dyDescent="0.3">
      <c r="A213" s="19" t="s">
        <v>325</v>
      </c>
      <c r="B213" s="21">
        <v>255</v>
      </c>
      <c r="C213" s="21">
        <v>1</v>
      </c>
      <c r="D213" s="20">
        <v>1899</v>
      </c>
      <c r="E213" s="21">
        <v>9</v>
      </c>
      <c r="F213" s="67" t="s">
        <v>91</v>
      </c>
      <c r="G213" s="62" t="s">
        <v>191</v>
      </c>
    </row>
  </sheetData>
  <mergeCells count="3">
    <mergeCell ref="A1:G1"/>
    <mergeCell ref="A3:G3"/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845F"/>
  </sheetPr>
  <dimension ref="A1:H63"/>
  <sheetViews>
    <sheetView zoomScaleNormal="100" workbookViewId="0">
      <selection sqref="A1:G1"/>
    </sheetView>
  </sheetViews>
  <sheetFormatPr defaultColWidth="8.6640625" defaultRowHeight="14.4" x14ac:dyDescent="0.3"/>
  <cols>
    <col min="1" max="1" width="8" customWidth="1"/>
    <col min="2" max="2" width="38" customWidth="1"/>
    <col min="3" max="3" width="8" customWidth="1"/>
    <col min="4" max="5" width="20" customWidth="1"/>
    <col min="6" max="6" width="12" customWidth="1"/>
    <col min="7" max="8" width="14" customWidth="1"/>
  </cols>
  <sheetData>
    <row r="1" spans="1:8" ht="36" customHeight="1" x14ac:dyDescent="0.3">
      <c r="A1" s="8" t="s">
        <v>326</v>
      </c>
      <c r="B1" s="8"/>
      <c r="C1" s="8"/>
      <c r="D1" s="8"/>
      <c r="E1" s="8"/>
      <c r="F1" s="8"/>
      <c r="G1" s="8"/>
    </row>
    <row r="3" spans="1:8" ht="15" customHeight="1" x14ac:dyDescent="0.3">
      <c r="A3" s="4" t="s">
        <v>327</v>
      </c>
      <c r="B3" s="4"/>
      <c r="C3" s="4"/>
      <c r="D3" s="4"/>
      <c r="E3" s="4"/>
      <c r="F3" s="4"/>
      <c r="G3" s="4"/>
    </row>
    <row r="4" spans="1:8" ht="41.4" x14ac:dyDescent="0.3">
      <c r="A4" s="14" t="s">
        <v>328</v>
      </c>
      <c r="B4" s="14" t="s">
        <v>329</v>
      </c>
      <c r="C4" s="14" t="s">
        <v>330</v>
      </c>
      <c r="D4" s="14" t="s">
        <v>64</v>
      </c>
      <c r="E4" s="14" t="s">
        <v>6</v>
      </c>
      <c r="F4" s="14" t="s">
        <v>331</v>
      </c>
      <c r="G4" s="14" t="s">
        <v>65</v>
      </c>
    </row>
    <row r="5" spans="1:8" x14ac:dyDescent="0.3">
      <c r="A5" s="68" t="s">
        <v>332</v>
      </c>
      <c r="B5" s="50">
        <v>740</v>
      </c>
      <c r="C5" s="52">
        <v>106.87</v>
      </c>
      <c r="D5" s="69">
        <v>79082.92</v>
      </c>
      <c r="E5" s="51">
        <v>4.21</v>
      </c>
      <c r="F5" s="70">
        <v>-12.1</v>
      </c>
      <c r="G5" s="53">
        <v>6.0000000000000001E-3</v>
      </c>
    </row>
    <row r="6" spans="1:8" x14ac:dyDescent="0.3">
      <c r="A6" s="71" t="s">
        <v>333</v>
      </c>
      <c r="B6" s="50">
        <v>740</v>
      </c>
      <c r="C6" s="52">
        <v>1786.47</v>
      </c>
      <c r="D6" s="69">
        <v>1321990.6599999999</v>
      </c>
      <c r="E6" s="51">
        <v>4.2</v>
      </c>
      <c r="F6" s="70">
        <v>-11.9</v>
      </c>
      <c r="G6" s="53">
        <v>0.1</v>
      </c>
    </row>
    <row r="7" spans="1:8" x14ac:dyDescent="0.3">
      <c r="A7" s="72" t="s">
        <v>334</v>
      </c>
      <c r="B7" s="50">
        <v>740</v>
      </c>
      <c r="C7" s="52">
        <v>15483.89</v>
      </c>
      <c r="D7" s="69">
        <v>11458080.779999999</v>
      </c>
      <c r="E7" s="51">
        <v>4.16</v>
      </c>
      <c r="F7" s="70">
        <v>-12.3</v>
      </c>
      <c r="G7" s="53">
        <v>0.86660000000000004</v>
      </c>
    </row>
    <row r="8" spans="1:8" x14ac:dyDescent="0.3">
      <c r="A8" s="73" t="s">
        <v>335</v>
      </c>
      <c r="B8" s="50">
        <v>740</v>
      </c>
      <c r="C8" s="52">
        <v>489.65</v>
      </c>
      <c r="D8" s="69">
        <v>362343.75</v>
      </c>
      <c r="E8" s="51">
        <v>4.25</v>
      </c>
      <c r="F8" s="70">
        <v>-12</v>
      </c>
      <c r="G8" s="53">
        <v>2.7400000000000001E-2</v>
      </c>
    </row>
    <row r="12" spans="1:8" ht="19.5" customHeight="1" x14ac:dyDescent="0.3">
      <c r="A12" s="5" t="s">
        <v>336</v>
      </c>
      <c r="B12" s="5"/>
      <c r="C12" s="5"/>
      <c r="D12" s="5"/>
      <c r="E12" s="5"/>
      <c r="F12" s="5"/>
      <c r="G12" s="5"/>
    </row>
    <row r="13" spans="1:8" x14ac:dyDescent="0.3">
      <c r="A13" s="14" t="s">
        <v>337</v>
      </c>
      <c r="B13" s="14" t="s">
        <v>338</v>
      </c>
      <c r="C13" s="14" t="s">
        <v>339</v>
      </c>
      <c r="D13" s="14" t="s">
        <v>340</v>
      </c>
      <c r="E13" s="14" t="s">
        <v>64</v>
      </c>
      <c r="F13" s="14" t="s">
        <v>17</v>
      </c>
      <c r="G13" s="14" t="s">
        <v>19</v>
      </c>
      <c r="H13" s="14" t="s">
        <v>328</v>
      </c>
    </row>
    <row r="14" spans="1:8" x14ac:dyDescent="0.3">
      <c r="A14" s="63">
        <v>1</v>
      </c>
      <c r="B14" s="44" t="s">
        <v>341</v>
      </c>
      <c r="C14" s="74" t="s">
        <v>342</v>
      </c>
      <c r="D14" s="44" t="s">
        <v>343</v>
      </c>
      <c r="E14" s="75">
        <v>227948.34</v>
      </c>
      <c r="F14" s="76">
        <v>1117</v>
      </c>
      <c r="G14" s="77">
        <v>4.17</v>
      </c>
      <c r="H14" s="74" t="s">
        <v>334</v>
      </c>
    </row>
    <row r="15" spans="1:8" x14ac:dyDescent="0.3">
      <c r="A15" s="63">
        <v>2</v>
      </c>
      <c r="B15" s="44" t="s">
        <v>344</v>
      </c>
      <c r="C15" s="74" t="s">
        <v>345</v>
      </c>
      <c r="D15" s="44" t="s">
        <v>346</v>
      </c>
      <c r="E15" s="75">
        <v>217940.44</v>
      </c>
      <c r="F15" s="76">
        <v>348</v>
      </c>
      <c r="G15" s="77">
        <v>4.2</v>
      </c>
      <c r="H15" s="74" t="s">
        <v>334</v>
      </c>
    </row>
    <row r="16" spans="1:8" x14ac:dyDescent="0.3">
      <c r="A16" s="63">
        <v>3</v>
      </c>
      <c r="B16" s="44" t="s">
        <v>347</v>
      </c>
      <c r="C16" s="74" t="s">
        <v>342</v>
      </c>
      <c r="D16" s="44" t="s">
        <v>348</v>
      </c>
      <c r="E16" s="75">
        <v>198108.39</v>
      </c>
      <c r="F16" s="76">
        <v>1726</v>
      </c>
      <c r="G16" s="77">
        <v>3.9</v>
      </c>
      <c r="H16" s="74" t="s">
        <v>334</v>
      </c>
    </row>
    <row r="17" spans="1:8" x14ac:dyDescent="0.3">
      <c r="A17" s="63">
        <v>4</v>
      </c>
      <c r="B17" s="44" t="s">
        <v>349</v>
      </c>
      <c r="C17" s="74" t="s">
        <v>342</v>
      </c>
      <c r="D17" s="44" t="s">
        <v>350</v>
      </c>
      <c r="E17" s="75">
        <v>190179.81</v>
      </c>
      <c r="F17" s="76">
        <v>571</v>
      </c>
      <c r="G17" s="77">
        <v>4.4000000000000004</v>
      </c>
      <c r="H17" s="74" t="s">
        <v>334</v>
      </c>
    </row>
    <row r="18" spans="1:8" x14ac:dyDescent="0.3">
      <c r="A18" s="63">
        <v>5</v>
      </c>
      <c r="B18" s="44" t="s">
        <v>351</v>
      </c>
      <c r="C18" s="74" t="s">
        <v>342</v>
      </c>
      <c r="D18" s="44" t="s">
        <v>352</v>
      </c>
      <c r="E18" s="75">
        <v>185389.26</v>
      </c>
      <c r="F18" s="76">
        <v>966</v>
      </c>
      <c r="G18" s="77">
        <v>3.51</v>
      </c>
      <c r="H18" s="74" t="s">
        <v>334</v>
      </c>
    </row>
    <row r="19" spans="1:8" x14ac:dyDescent="0.3">
      <c r="A19" s="63">
        <v>6</v>
      </c>
      <c r="B19" s="44" t="s">
        <v>353</v>
      </c>
      <c r="C19" s="74" t="s">
        <v>342</v>
      </c>
      <c r="D19" s="44" t="s">
        <v>354</v>
      </c>
      <c r="E19" s="75">
        <v>165556.29</v>
      </c>
      <c r="F19" s="76">
        <v>318</v>
      </c>
      <c r="G19" s="77">
        <v>4.38</v>
      </c>
      <c r="H19" s="74" t="s">
        <v>334</v>
      </c>
    </row>
    <row r="20" spans="1:8" x14ac:dyDescent="0.3">
      <c r="A20" s="63">
        <v>7</v>
      </c>
      <c r="B20" s="44" t="s">
        <v>355</v>
      </c>
      <c r="C20" s="74" t="s">
        <v>342</v>
      </c>
      <c r="D20" s="44" t="s">
        <v>356</v>
      </c>
      <c r="E20" s="75">
        <v>160976.26999999999</v>
      </c>
      <c r="F20" s="76">
        <v>1295</v>
      </c>
      <c r="G20" s="77">
        <v>4.2</v>
      </c>
      <c r="H20" s="74" t="s">
        <v>334</v>
      </c>
    </row>
    <row r="21" spans="1:8" x14ac:dyDescent="0.3">
      <c r="A21" s="63">
        <v>8</v>
      </c>
      <c r="B21" s="44" t="s">
        <v>357</v>
      </c>
      <c r="C21" s="74" t="s">
        <v>342</v>
      </c>
      <c r="D21" s="44" t="s">
        <v>358</v>
      </c>
      <c r="E21" s="75">
        <v>140601.13</v>
      </c>
      <c r="F21" s="76">
        <v>1135</v>
      </c>
      <c r="G21" s="77">
        <v>4.3</v>
      </c>
      <c r="H21" s="74" t="s">
        <v>334</v>
      </c>
    </row>
    <row r="22" spans="1:8" x14ac:dyDescent="0.3">
      <c r="A22" s="63">
        <v>9</v>
      </c>
      <c r="B22" s="44" t="s">
        <v>359</v>
      </c>
      <c r="C22" s="74" t="s">
        <v>342</v>
      </c>
      <c r="D22" s="44" t="s">
        <v>358</v>
      </c>
      <c r="E22" s="75">
        <v>138739.25</v>
      </c>
      <c r="F22" s="76">
        <v>898</v>
      </c>
      <c r="G22" s="77">
        <v>4.03</v>
      </c>
      <c r="H22" s="74" t="s">
        <v>334</v>
      </c>
    </row>
    <row r="23" spans="1:8" x14ac:dyDescent="0.3">
      <c r="A23" s="63">
        <v>10</v>
      </c>
      <c r="B23" s="44" t="s">
        <v>360</v>
      </c>
      <c r="C23" s="74" t="s">
        <v>342</v>
      </c>
      <c r="D23" s="44" t="s">
        <v>358</v>
      </c>
      <c r="E23" s="75">
        <v>131943.4</v>
      </c>
      <c r="F23" s="76">
        <v>1255</v>
      </c>
      <c r="G23" s="77">
        <v>4.21</v>
      </c>
      <c r="H23" s="74" t="s">
        <v>334</v>
      </c>
    </row>
    <row r="24" spans="1:8" x14ac:dyDescent="0.3">
      <c r="A24" s="17">
        <v>11</v>
      </c>
      <c r="B24" s="15" t="s">
        <v>361</v>
      </c>
      <c r="C24" s="60" t="s">
        <v>362</v>
      </c>
      <c r="D24" s="15" t="s">
        <v>363</v>
      </c>
      <c r="E24" s="16">
        <v>122456.1</v>
      </c>
      <c r="F24" s="17">
        <v>501</v>
      </c>
      <c r="G24" s="18">
        <v>4.3</v>
      </c>
      <c r="H24" s="60" t="s">
        <v>334</v>
      </c>
    </row>
    <row r="25" spans="1:8" x14ac:dyDescent="0.3">
      <c r="A25" s="21">
        <v>12</v>
      </c>
      <c r="B25" s="19" t="s">
        <v>364</v>
      </c>
      <c r="C25" s="62" t="s">
        <v>342</v>
      </c>
      <c r="D25" s="19" t="s">
        <v>358</v>
      </c>
      <c r="E25" s="20">
        <v>121661.09</v>
      </c>
      <c r="F25" s="21">
        <v>1809</v>
      </c>
      <c r="G25" s="22">
        <v>4</v>
      </c>
      <c r="H25" s="62" t="s">
        <v>334</v>
      </c>
    </row>
    <row r="26" spans="1:8" x14ac:dyDescent="0.3">
      <c r="A26" s="17">
        <v>13</v>
      </c>
      <c r="B26" s="15" t="s">
        <v>365</v>
      </c>
      <c r="C26" s="60" t="s">
        <v>342</v>
      </c>
      <c r="D26" s="15" t="s">
        <v>366</v>
      </c>
      <c r="E26" s="16">
        <v>114174.13</v>
      </c>
      <c r="F26" s="17">
        <v>555</v>
      </c>
      <c r="G26" s="18">
        <v>4.0599999999999996</v>
      </c>
      <c r="H26" s="60" t="s">
        <v>334</v>
      </c>
    </row>
    <row r="27" spans="1:8" x14ac:dyDescent="0.3">
      <c r="A27" s="21">
        <v>14</v>
      </c>
      <c r="B27" s="19" t="s">
        <v>367</v>
      </c>
      <c r="C27" s="62" t="s">
        <v>362</v>
      </c>
      <c r="D27" s="19" t="s">
        <v>368</v>
      </c>
      <c r="E27" s="20">
        <v>112623.7</v>
      </c>
      <c r="F27" s="21">
        <v>720</v>
      </c>
      <c r="G27" s="22">
        <v>4.3099999999999996</v>
      </c>
      <c r="H27" s="62" t="s">
        <v>334</v>
      </c>
    </row>
    <row r="28" spans="1:8" x14ac:dyDescent="0.3">
      <c r="A28" s="17">
        <v>15</v>
      </c>
      <c r="B28" s="15" t="s">
        <v>369</v>
      </c>
      <c r="C28" s="60" t="s">
        <v>342</v>
      </c>
      <c r="D28" s="15" t="s">
        <v>370</v>
      </c>
      <c r="E28" s="16">
        <v>110342.62</v>
      </c>
      <c r="F28" s="17">
        <v>321</v>
      </c>
      <c r="G28" s="18">
        <v>4.0199999999999996</v>
      </c>
      <c r="H28" s="60" t="s">
        <v>334</v>
      </c>
    </row>
    <row r="29" spans="1:8" x14ac:dyDescent="0.3">
      <c r="A29" s="21">
        <v>16</v>
      </c>
      <c r="B29" s="19" t="s">
        <v>371</v>
      </c>
      <c r="C29" s="62" t="s">
        <v>342</v>
      </c>
      <c r="D29" s="19" t="s">
        <v>372</v>
      </c>
      <c r="E29" s="20">
        <v>107302.29</v>
      </c>
      <c r="F29" s="21">
        <v>1384</v>
      </c>
      <c r="G29" s="22">
        <v>4.16</v>
      </c>
      <c r="H29" s="62" t="s">
        <v>334</v>
      </c>
    </row>
    <row r="30" spans="1:8" x14ac:dyDescent="0.3">
      <c r="A30" s="17">
        <v>17</v>
      </c>
      <c r="B30" s="15" t="s">
        <v>373</v>
      </c>
      <c r="C30" s="60" t="s">
        <v>342</v>
      </c>
      <c r="D30" s="15" t="s">
        <v>374</v>
      </c>
      <c r="E30" s="16">
        <v>102160.89</v>
      </c>
      <c r="F30" s="17">
        <v>1648</v>
      </c>
      <c r="G30" s="18">
        <v>4.16</v>
      </c>
      <c r="H30" s="60" t="s">
        <v>334</v>
      </c>
    </row>
    <row r="31" spans="1:8" x14ac:dyDescent="0.3">
      <c r="A31" s="21">
        <v>18</v>
      </c>
      <c r="B31" s="19" t="s">
        <v>375</v>
      </c>
      <c r="C31" s="62" t="s">
        <v>376</v>
      </c>
      <c r="D31" s="19" t="s">
        <v>377</v>
      </c>
      <c r="E31" s="20">
        <v>99676.47</v>
      </c>
      <c r="F31" s="21">
        <v>699</v>
      </c>
      <c r="G31" s="22">
        <v>4.29</v>
      </c>
      <c r="H31" s="62" t="s">
        <v>334</v>
      </c>
    </row>
    <row r="32" spans="1:8" x14ac:dyDescent="0.3">
      <c r="A32" s="17">
        <v>19</v>
      </c>
      <c r="B32" s="15" t="s">
        <v>378</v>
      </c>
      <c r="C32" s="60" t="s">
        <v>342</v>
      </c>
      <c r="D32" s="15" t="s">
        <v>379</v>
      </c>
      <c r="E32" s="16">
        <v>93580.9</v>
      </c>
      <c r="F32" s="17">
        <v>1052</v>
      </c>
      <c r="G32" s="18">
        <v>4.21</v>
      </c>
      <c r="H32" s="60" t="s">
        <v>334</v>
      </c>
    </row>
    <row r="33" spans="1:8" x14ac:dyDescent="0.3">
      <c r="A33" s="21">
        <v>20</v>
      </c>
      <c r="B33" s="19" t="s">
        <v>380</v>
      </c>
      <c r="C33" s="62" t="s">
        <v>362</v>
      </c>
      <c r="D33" s="19" t="s">
        <v>381</v>
      </c>
      <c r="E33" s="20">
        <v>79292.7</v>
      </c>
      <c r="F33" s="21">
        <v>165</v>
      </c>
      <c r="G33" s="22">
        <v>4.4400000000000004</v>
      </c>
      <c r="H33" s="62" t="s">
        <v>334</v>
      </c>
    </row>
    <row r="34" spans="1:8" x14ac:dyDescent="0.3">
      <c r="A34" s="17">
        <v>21</v>
      </c>
      <c r="B34" s="15" t="s">
        <v>382</v>
      </c>
      <c r="C34" s="60" t="s">
        <v>383</v>
      </c>
      <c r="D34" s="15" t="s">
        <v>384</v>
      </c>
      <c r="E34" s="16">
        <v>72745.62</v>
      </c>
      <c r="F34" s="17">
        <v>183</v>
      </c>
      <c r="G34" s="18">
        <v>4.34</v>
      </c>
      <c r="H34" s="60" t="s">
        <v>334</v>
      </c>
    </row>
    <row r="35" spans="1:8" x14ac:dyDescent="0.3">
      <c r="A35" s="21">
        <v>22</v>
      </c>
      <c r="B35" s="19" t="s">
        <v>385</v>
      </c>
      <c r="C35" s="62" t="s">
        <v>342</v>
      </c>
      <c r="D35" s="19" t="s">
        <v>386</v>
      </c>
      <c r="E35" s="20">
        <v>68270.899999999994</v>
      </c>
      <c r="F35" s="21">
        <v>216</v>
      </c>
      <c r="G35" s="22">
        <v>4.2300000000000004</v>
      </c>
      <c r="H35" s="62" t="s">
        <v>334</v>
      </c>
    </row>
    <row r="36" spans="1:8" x14ac:dyDescent="0.3">
      <c r="A36" s="17">
        <v>23</v>
      </c>
      <c r="B36" s="15" t="s">
        <v>387</v>
      </c>
      <c r="C36" s="60" t="s">
        <v>342</v>
      </c>
      <c r="D36" s="15" t="s">
        <v>388</v>
      </c>
      <c r="E36" s="16">
        <v>66112.509999999995</v>
      </c>
      <c r="F36" s="17">
        <v>292</v>
      </c>
      <c r="G36" s="18">
        <v>4.4000000000000004</v>
      </c>
      <c r="H36" s="60" t="s">
        <v>334</v>
      </c>
    </row>
    <row r="37" spans="1:8" x14ac:dyDescent="0.3">
      <c r="A37" s="21">
        <v>24</v>
      </c>
      <c r="B37" s="19" t="s">
        <v>389</v>
      </c>
      <c r="C37" s="62" t="s">
        <v>342</v>
      </c>
      <c r="D37" s="19" t="s">
        <v>390</v>
      </c>
      <c r="E37" s="20">
        <v>63902.92</v>
      </c>
      <c r="F37" s="21">
        <v>378</v>
      </c>
      <c r="G37" s="22">
        <v>4.3099999999999996</v>
      </c>
      <c r="H37" s="62" t="s">
        <v>334</v>
      </c>
    </row>
    <row r="38" spans="1:8" x14ac:dyDescent="0.3">
      <c r="A38" s="17">
        <v>25</v>
      </c>
      <c r="B38" s="15" t="s">
        <v>391</v>
      </c>
      <c r="C38" s="60" t="s">
        <v>342</v>
      </c>
      <c r="D38" s="15" t="s">
        <v>348</v>
      </c>
      <c r="E38" s="16">
        <v>61668.82</v>
      </c>
      <c r="F38" s="17">
        <v>675</v>
      </c>
      <c r="G38" s="18">
        <v>3.96</v>
      </c>
      <c r="H38" s="60" t="s">
        <v>334</v>
      </c>
    </row>
    <row r="39" spans="1:8" x14ac:dyDescent="0.3">
      <c r="A39" s="21">
        <v>26</v>
      </c>
      <c r="B39" s="19" t="s">
        <v>392</v>
      </c>
      <c r="C39" s="62" t="s">
        <v>393</v>
      </c>
      <c r="D39" s="19" t="s">
        <v>394</v>
      </c>
      <c r="E39" s="20">
        <v>58991.8</v>
      </c>
      <c r="F39" s="21">
        <v>92</v>
      </c>
      <c r="G39" s="22">
        <v>3.95</v>
      </c>
      <c r="H39" s="62" t="s">
        <v>334</v>
      </c>
    </row>
    <row r="40" spans="1:8" x14ac:dyDescent="0.3">
      <c r="A40" s="17">
        <v>27</v>
      </c>
      <c r="B40" s="15" t="s">
        <v>395</v>
      </c>
      <c r="C40" s="60" t="s">
        <v>383</v>
      </c>
      <c r="D40" s="15" t="s">
        <v>396</v>
      </c>
      <c r="E40" s="16">
        <v>56631.39</v>
      </c>
      <c r="F40" s="17">
        <v>171</v>
      </c>
      <c r="G40" s="18">
        <v>3.94</v>
      </c>
      <c r="H40" s="60" t="s">
        <v>334</v>
      </c>
    </row>
    <row r="41" spans="1:8" x14ac:dyDescent="0.3">
      <c r="A41" s="21">
        <v>28</v>
      </c>
      <c r="B41" s="19" t="s">
        <v>397</v>
      </c>
      <c r="C41" s="62" t="s">
        <v>398</v>
      </c>
      <c r="D41" s="19" t="s">
        <v>399</v>
      </c>
      <c r="E41" s="20">
        <v>55327.21</v>
      </c>
      <c r="F41" s="21">
        <v>337</v>
      </c>
      <c r="G41" s="22">
        <v>4.3099999999999996</v>
      </c>
      <c r="H41" s="62" t="s">
        <v>334</v>
      </c>
    </row>
    <row r="42" spans="1:8" x14ac:dyDescent="0.3">
      <c r="A42" s="17">
        <v>29</v>
      </c>
      <c r="B42" s="15" t="s">
        <v>400</v>
      </c>
      <c r="C42" s="60" t="s">
        <v>342</v>
      </c>
      <c r="D42" s="15" t="s">
        <v>358</v>
      </c>
      <c r="E42" s="16">
        <v>54735.55</v>
      </c>
      <c r="F42" s="17">
        <v>269</v>
      </c>
      <c r="G42" s="18">
        <v>4.33</v>
      </c>
      <c r="H42" s="60" t="s">
        <v>334</v>
      </c>
    </row>
    <row r="43" spans="1:8" x14ac:dyDescent="0.3">
      <c r="A43" s="21">
        <v>30</v>
      </c>
      <c r="B43" s="19" t="s">
        <v>401</v>
      </c>
      <c r="C43" s="62" t="s">
        <v>342</v>
      </c>
      <c r="D43" s="19" t="s">
        <v>358</v>
      </c>
      <c r="E43" s="20">
        <v>54655.56</v>
      </c>
      <c r="F43" s="21">
        <v>325</v>
      </c>
      <c r="G43" s="22">
        <v>4.04</v>
      </c>
      <c r="H43" s="62" t="s">
        <v>334</v>
      </c>
    </row>
    <row r="44" spans="1:8" x14ac:dyDescent="0.3">
      <c r="A44" s="17">
        <v>31</v>
      </c>
      <c r="B44" s="15" t="s">
        <v>402</v>
      </c>
      <c r="C44" s="60" t="s">
        <v>342</v>
      </c>
      <c r="D44" s="15" t="s">
        <v>403</v>
      </c>
      <c r="E44" s="16">
        <v>54272.36</v>
      </c>
      <c r="F44" s="17">
        <v>246</v>
      </c>
      <c r="G44" s="18">
        <v>4.2699999999999996</v>
      </c>
      <c r="H44" s="60" t="s">
        <v>334</v>
      </c>
    </row>
    <row r="45" spans="1:8" x14ac:dyDescent="0.3">
      <c r="A45" s="21">
        <v>32</v>
      </c>
      <c r="B45" s="19" t="s">
        <v>404</v>
      </c>
      <c r="C45" s="62" t="s">
        <v>342</v>
      </c>
      <c r="D45" s="19" t="s">
        <v>366</v>
      </c>
      <c r="E45" s="20">
        <v>53818.41</v>
      </c>
      <c r="F45" s="21">
        <v>376</v>
      </c>
      <c r="G45" s="22">
        <v>4.1900000000000004</v>
      </c>
      <c r="H45" s="62" t="s">
        <v>334</v>
      </c>
    </row>
    <row r="46" spans="1:8" x14ac:dyDescent="0.3">
      <c r="A46" s="17">
        <v>33</v>
      </c>
      <c r="B46" s="15" t="s">
        <v>405</v>
      </c>
      <c r="C46" s="60" t="s">
        <v>342</v>
      </c>
      <c r="D46" s="15" t="s">
        <v>358</v>
      </c>
      <c r="E46" s="16">
        <v>51426.18</v>
      </c>
      <c r="F46" s="17">
        <v>197</v>
      </c>
      <c r="G46" s="18">
        <v>4.21</v>
      </c>
      <c r="H46" s="60" t="s">
        <v>334</v>
      </c>
    </row>
    <row r="47" spans="1:8" x14ac:dyDescent="0.3">
      <c r="A47" s="21">
        <v>34</v>
      </c>
      <c r="B47" s="19" t="s">
        <v>406</v>
      </c>
      <c r="C47" s="62" t="s">
        <v>342</v>
      </c>
      <c r="D47" s="19" t="s">
        <v>386</v>
      </c>
      <c r="E47" s="20">
        <v>51232.78</v>
      </c>
      <c r="F47" s="21">
        <v>113</v>
      </c>
      <c r="G47" s="22">
        <v>4.2699999999999996</v>
      </c>
      <c r="H47" s="62" t="s">
        <v>334</v>
      </c>
    </row>
    <row r="48" spans="1:8" x14ac:dyDescent="0.3">
      <c r="A48" s="17">
        <v>35</v>
      </c>
      <c r="B48" s="15" t="s">
        <v>407</v>
      </c>
      <c r="C48" s="60" t="s">
        <v>362</v>
      </c>
      <c r="D48" s="15" t="s">
        <v>381</v>
      </c>
      <c r="E48" s="16">
        <v>51057.54</v>
      </c>
      <c r="F48" s="17">
        <v>57</v>
      </c>
      <c r="G48" s="18">
        <v>4.58</v>
      </c>
      <c r="H48" s="60" t="s">
        <v>334</v>
      </c>
    </row>
    <row r="49" spans="1:8" x14ac:dyDescent="0.3">
      <c r="A49" s="21">
        <v>36</v>
      </c>
      <c r="B49" s="19" t="s">
        <v>408</v>
      </c>
      <c r="C49" s="62" t="s">
        <v>376</v>
      </c>
      <c r="D49" s="19" t="s">
        <v>409</v>
      </c>
      <c r="E49" s="20">
        <v>50788.62</v>
      </c>
      <c r="F49" s="21">
        <v>148</v>
      </c>
      <c r="G49" s="22">
        <v>3.96</v>
      </c>
      <c r="H49" s="62" t="s">
        <v>334</v>
      </c>
    </row>
    <row r="50" spans="1:8" x14ac:dyDescent="0.3">
      <c r="A50" s="17">
        <v>37</v>
      </c>
      <c r="B50" s="15" t="s">
        <v>410</v>
      </c>
      <c r="C50" s="60" t="s">
        <v>362</v>
      </c>
      <c r="D50" s="15" t="s">
        <v>411</v>
      </c>
      <c r="E50" s="16">
        <v>50628.9</v>
      </c>
      <c r="F50" s="17">
        <v>30</v>
      </c>
      <c r="G50" s="18">
        <v>4.17</v>
      </c>
      <c r="H50" s="60" t="s">
        <v>334</v>
      </c>
    </row>
    <row r="51" spans="1:8" x14ac:dyDescent="0.3">
      <c r="A51" s="21">
        <v>38</v>
      </c>
      <c r="B51" s="19" t="s">
        <v>412</v>
      </c>
      <c r="C51" s="62" t="s">
        <v>342</v>
      </c>
      <c r="D51" s="19" t="s">
        <v>413</v>
      </c>
      <c r="E51" s="20">
        <v>50058.27</v>
      </c>
      <c r="F51" s="21">
        <v>652</v>
      </c>
      <c r="G51" s="22">
        <v>4.29</v>
      </c>
      <c r="H51" s="62" t="s">
        <v>334</v>
      </c>
    </row>
    <row r="52" spans="1:8" x14ac:dyDescent="0.3">
      <c r="A52" s="17">
        <v>39</v>
      </c>
      <c r="B52" s="15" t="s">
        <v>414</v>
      </c>
      <c r="C52" s="60" t="s">
        <v>342</v>
      </c>
      <c r="D52" s="15" t="s">
        <v>358</v>
      </c>
      <c r="E52" s="16">
        <v>49366.59</v>
      </c>
      <c r="F52" s="17">
        <v>323</v>
      </c>
      <c r="G52" s="18">
        <v>4.22</v>
      </c>
      <c r="H52" s="60" t="s">
        <v>334</v>
      </c>
    </row>
    <row r="53" spans="1:8" x14ac:dyDescent="0.3">
      <c r="A53" s="21">
        <v>40</v>
      </c>
      <c r="B53" s="19" t="s">
        <v>415</v>
      </c>
      <c r="C53" s="62" t="s">
        <v>342</v>
      </c>
      <c r="D53" s="19" t="s">
        <v>358</v>
      </c>
      <c r="E53" s="20">
        <v>46969</v>
      </c>
      <c r="F53" s="21">
        <v>55</v>
      </c>
      <c r="G53" s="22">
        <v>4.3499999999999996</v>
      </c>
      <c r="H53" s="62" t="s">
        <v>334</v>
      </c>
    </row>
    <row r="54" spans="1:8" x14ac:dyDescent="0.3">
      <c r="A54" s="17">
        <v>41</v>
      </c>
      <c r="B54" s="15" t="s">
        <v>416</v>
      </c>
      <c r="C54" s="60" t="s">
        <v>342</v>
      </c>
      <c r="D54" s="15" t="s">
        <v>348</v>
      </c>
      <c r="E54" s="16">
        <v>45897.599999999999</v>
      </c>
      <c r="F54" s="17">
        <v>368</v>
      </c>
      <c r="G54" s="18">
        <v>4</v>
      </c>
      <c r="H54" s="60" t="s">
        <v>334</v>
      </c>
    </row>
    <row r="55" spans="1:8" x14ac:dyDescent="0.3">
      <c r="A55" s="21">
        <v>42</v>
      </c>
      <c r="B55" s="19" t="s">
        <v>417</v>
      </c>
      <c r="C55" s="62" t="s">
        <v>383</v>
      </c>
      <c r="D55" s="19" t="s">
        <v>384</v>
      </c>
      <c r="E55" s="20">
        <v>45486.5</v>
      </c>
      <c r="F55" s="21">
        <v>305</v>
      </c>
      <c r="G55" s="22">
        <v>4.1900000000000004</v>
      </c>
      <c r="H55" s="62" t="s">
        <v>334</v>
      </c>
    </row>
    <row r="56" spans="1:8" x14ac:dyDescent="0.3">
      <c r="A56" s="17">
        <v>43</v>
      </c>
      <c r="B56" s="15" t="s">
        <v>418</v>
      </c>
      <c r="C56" s="60" t="s">
        <v>342</v>
      </c>
      <c r="D56" s="15" t="s">
        <v>419</v>
      </c>
      <c r="E56" s="16">
        <v>45408.41</v>
      </c>
      <c r="F56" s="17">
        <v>412</v>
      </c>
      <c r="G56" s="18">
        <v>3.97</v>
      </c>
      <c r="H56" s="60" t="s">
        <v>334</v>
      </c>
    </row>
    <row r="57" spans="1:8" x14ac:dyDescent="0.3">
      <c r="A57" s="21">
        <v>44</v>
      </c>
      <c r="B57" s="19" t="s">
        <v>420</v>
      </c>
      <c r="C57" s="62" t="s">
        <v>342</v>
      </c>
      <c r="D57" s="19" t="s">
        <v>358</v>
      </c>
      <c r="E57" s="20">
        <v>45358.27</v>
      </c>
      <c r="F57" s="21">
        <v>185</v>
      </c>
      <c r="G57" s="22">
        <v>4.32</v>
      </c>
      <c r="H57" s="62" t="s">
        <v>334</v>
      </c>
    </row>
    <row r="58" spans="1:8" x14ac:dyDescent="0.3">
      <c r="A58" s="17">
        <v>45</v>
      </c>
      <c r="B58" s="15" t="s">
        <v>421</v>
      </c>
      <c r="C58" s="60" t="s">
        <v>342</v>
      </c>
      <c r="D58" s="15" t="s">
        <v>422</v>
      </c>
      <c r="E58" s="16">
        <v>44969.26</v>
      </c>
      <c r="F58" s="17">
        <v>66</v>
      </c>
      <c r="G58" s="18">
        <v>4.12</v>
      </c>
      <c r="H58" s="60" t="s">
        <v>334</v>
      </c>
    </row>
    <row r="59" spans="1:8" x14ac:dyDescent="0.3">
      <c r="A59" s="21">
        <v>46</v>
      </c>
      <c r="B59" s="19" t="s">
        <v>423</v>
      </c>
      <c r="C59" s="62" t="s">
        <v>342</v>
      </c>
      <c r="D59" s="19" t="s">
        <v>390</v>
      </c>
      <c r="E59" s="20">
        <v>44554.95</v>
      </c>
      <c r="F59" s="21">
        <v>345</v>
      </c>
      <c r="G59" s="22">
        <v>4.13</v>
      </c>
      <c r="H59" s="62" t="s">
        <v>334</v>
      </c>
    </row>
    <row r="60" spans="1:8" x14ac:dyDescent="0.3">
      <c r="A60" s="17">
        <v>47</v>
      </c>
      <c r="B60" s="15" t="s">
        <v>424</v>
      </c>
      <c r="C60" s="60" t="s">
        <v>342</v>
      </c>
      <c r="D60" s="15" t="s">
        <v>390</v>
      </c>
      <c r="E60" s="16">
        <v>44212.5</v>
      </c>
      <c r="F60" s="17">
        <v>38</v>
      </c>
      <c r="G60" s="18">
        <v>4.42</v>
      </c>
      <c r="H60" s="60" t="s">
        <v>334</v>
      </c>
    </row>
    <row r="61" spans="1:8" x14ac:dyDescent="0.3">
      <c r="A61" s="21">
        <v>48</v>
      </c>
      <c r="B61" s="19" t="s">
        <v>425</v>
      </c>
      <c r="C61" s="62" t="s">
        <v>342</v>
      </c>
      <c r="D61" s="19" t="s">
        <v>426</v>
      </c>
      <c r="E61" s="20">
        <v>44007.01</v>
      </c>
      <c r="F61" s="21">
        <v>147</v>
      </c>
      <c r="G61" s="22">
        <v>4.22</v>
      </c>
      <c r="H61" s="62" t="s">
        <v>334</v>
      </c>
    </row>
    <row r="62" spans="1:8" x14ac:dyDescent="0.3">
      <c r="A62" s="17">
        <v>49</v>
      </c>
      <c r="B62" s="15" t="s">
        <v>427</v>
      </c>
      <c r="C62" s="60" t="s">
        <v>393</v>
      </c>
      <c r="D62" s="15" t="s">
        <v>428</v>
      </c>
      <c r="E62" s="16">
        <v>43510.84</v>
      </c>
      <c r="F62" s="17">
        <v>82</v>
      </c>
      <c r="G62" s="18">
        <v>4.4400000000000004</v>
      </c>
      <c r="H62" s="60" t="s">
        <v>334</v>
      </c>
    </row>
    <row r="63" spans="1:8" x14ac:dyDescent="0.3">
      <c r="A63" s="21">
        <v>50</v>
      </c>
      <c r="B63" s="19" t="s">
        <v>429</v>
      </c>
      <c r="C63" s="62" t="s">
        <v>342</v>
      </c>
      <c r="D63" s="19" t="s">
        <v>430</v>
      </c>
      <c r="E63" s="20">
        <v>42829</v>
      </c>
      <c r="F63" s="21">
        <v>33</v>
      </c>
      <c r="G63" s="22">
        <v>4.09</v>
      </c>
      <c r="H63" s="62" t="s">
        <v>334</v>
      </c>
    </row>
  </sheetData>
  <mergeCells count="3">
    <mergeCell ref="A1:G1"/>
    <mergeCell ref="A3:G3"/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B4332"/>
  </sheetPr>
  <dimension ref="A1:E41"/>
  <sheetViews>
    <sheetView zoomScaleNormal="100" workbookViewId="0">
      <selection sqref="A1:E1"/>
    </sheetView>
  </sheetViews>
  <sheetFormatPr defaultColWidth="8.6640625" defaultRowHeight="14.4" x14ac:dyDescent="0.3"/>
  <cols>
    <col min="1" max="4" width="18" customWidth="1"/>
    <col min="5" max="5" width="40" customWidth="1"/>
  </cols>
  <sheetData>
    <row r="1" spans="1:5" ht="39.75" customHeight="1" x14ac:dyDescent="0.3">
      <c r="A1" s="8" t="s">
        <v>431</v>
      </c>
      <c r="B1" s="8"/>
      <c r="C1" s="8"/>
      <c r="D1" s="8"/>
      <c r="E1" s="8"/>
    </row>
    <row r="3" spans="1:5" ht="21.75" customHeight="1" x14ac:dyDescent="0.3">
      <c r="A3" s="3" t="s">
        <v>432</v>
      </c>
      <c r="B3" s="3"/>
      <c r="C3" s="3"/>
      <c r="D3" s="3"/>
      <c r="E3" s="3"/>
    </row>
    <row r="4" spans="1:5" ht="18" customHeight="1" x14ac:dyDescent="0.3">
      <c r="A4" s="2" t="s">
        <v>433</v>
      </c>
      <c r="B4" s="2"/>
      <c r="C4" s="2"/>
      <c r="D4" s="2"/>
      <c r="E4" s="2"/>
    </row>
    <row r="5" spans="1:5" ht="18" customHeight="1" x14ac:dyDescent="0.3">
      <c r="A5" s="2"/>
      <c r="B5" s="2"/>
      <c r="C5" s="2"/>
      <c r="D5" s="2"/>
      <c r="E5" s="2"/>
    </row>
    <row r="6" spans="1:5" ht="18" customHeight="1" x14ac:dyDescent="0.3">
      <c r="A6" s="2"/>
      <c r="B6" s="2"/>
      <c r="C6" s="2"/>
      <c r="D6" s="2"/>
      <c r="E6" s="2"/>
    </row>
    <row r="7" spans="1:5" ht="18" customHeight="1" x14ac:dyDescent="0.3">
      <c r="A7" s="1" t="s">
        <v>434</v>
      </c>
      <c r="B7" s="1"/>
      <c r="C7" s="1"/>
      <c r="D7" s="1"/>
      <c r="E7" s="1"/>
    </row>
    <row r="8" spans="1:5" ht="18" customHeight="1" x14ac:dyDescent="0.3">
      <c r="A8" s="1"/>
      <c r="B8" s="1"/>
      <c r="C8" s="1"/>
      <c r="D8" s="1"/>
      <c r="E8" s="1"/>
    </row>
    <row r="9" spans="1:5" ht="18" customHeight="1" x14ac:dyDescent="0.3">
      <c r="A9" s="1"/>
      <c r="B9" s="1"/>
      <c r="C9" s="1"/>
      <c r="D9" s="1"/>
      <c r="E9" s="1"/>
    </row>
    <row r="11" spans="1:5" ht="21.75" customHeight="1" x14ac:dyDescent="0.3">
      <c r="A11" s="3" t="s">
        <v>435</v>
      </c>
      <c r="B11" s="3"/>
      <c r="C11" s="3"/>
      <c r="D11" s="3"/>
      <c r="E11" s="3"/>
    </row>
    <row r="12" spans="1:5" ht="18" customHeight="1" x14ac:dyDescent="0.3">
      <c r="A12" s="2" t="s">
        <v>436</v>
      </c>
      <c r="B12" s="2"/>
      <c r="C12" s="2"/>
      <c r="D12" s="2"/>
      <c r="E12" s="2"/>
    </row>
    <row r="13" spans="1:5" ht="18" customHeight="1" x14ac:dyDescent="0.3">
      <c r="A13" s="2"/>
      <c r="B13" s="2"/>
      <c r="C13" s="2"/>
      <c r="D13" s="2"/>
      <c r="E13" s="2"/>
    </row>
    <row r="14" spans="1:5" ht="18" customHeight="1" x14ac:dyDescent="0.3">
      <c r="A14" s="2"/>
      <c r="B14" s="2"/>
      <c r="C14" s="2"/>
      <c r="D14" s="2"/>
      <c r="E14" s="2"/>
    </row>
    <row r="15" spans="1:5" ht="18" customHeight="1" x14ac:dyDescent="0.3">
      <c r="A15" s="1" t="s">
        <v>437</v>
      </c>
      <c r="B15" s="1"/>
      <c r="C15" s="1"/>
      <c r="D15" s="1"/>
      <c r="E15" s="1"/>
    </row>
    <row r="16" spans="1:5" ht="18" customHeight="1" x14ac:dyDescent="0.3">
      <c r="A16" s="1"/>
      <c r="B16" s="1"/>
      <c r="C16" s="1"/>
      <c r="D16" s="1"/>
      <c r="E16" s="1"/>
    </row>
    <row r="17" spans="1:5" ht="18" customHeight="1" x14ac:dyDescent="0.3">
      <c r="A17" s="1"/>
      <c r="B17" s="1"/>
      <c r="C17" s="1"/>
      <c r="D17" s="1"/>
      <c r="E17" s="1"/>
    </row>
    <row r="19" spans="1:5" ht="21.75" customHeight="1" x14ac:dyDescent="0.3">
      <c r="A19" s="3" t="s">
        <v>438</v>
      </c>
      <c r="B19" s="3"/>
      <c r="C19" s="3"/>
      <c r="D19" s="3"/>
      <c r="E19" s="3"/>
    </row>
    <row r="20" spans="1:5" ht="18" customHeight="1" x14ac:dyDescent="0.3">
      <c r="A20" s="2" t="s">
        <v>439</v>
      </c>
      <c r="B20" s="2"/>
      <c r="C20" s="2"/>
      <c r="D20" s="2"/>
      <c r="E20" s="2"/>
    </row>
    <row r="21" spans="1:5" ht="18" customHeight="1" x14ac:dyDescent="0.3">
      <c r="A21" s="2"/>
      <c r="B21" s="2"/>
      <c r="C21" s="2"/>
      <c r="D21" s="2"/>
      <c r="E21" s="2"/>
    </row>
    <row r="22" spans="1:5" ht="18" customHeight="1" x14ac:dyDescent="0.3">
      <c r="A22" s="2"/>
      <c r="B22" s="2"/>
      <c r="C22" s="2"/>
      <c r="D22" s="2"/>
      <c r="E22" s="2"/>
    </row>
    <row r="23" spans="1:5" ht="18" customHeight="1" x14ac:dyDescent="0.3">
      <c r="A23" s="1" t="s">
        <v>440</v>
      </c>
      <c r="B23" s="1"/>
      <c r="C23" s="1"/>
      <c r="D23" s="1"/>
      <c r="E23" s="1"/>
    </row>
    <row r="24" spans="1:5" ht="18" customHeight="1" x14ac:dyDescent="0.3">
      <c r="A24" s="1"/>
      <c r="B24" s="1"/>
      <c r="C24" s="1"/>
      <c r="D24" s="1"/>
      <c r="E24" s="1"/>
    </row>
    <row r="25" spans="1:5" ht="18" customHeight="1" x14ac:dyDescent="0.3">
      <c r="A25" s="1"/>
      <c r="B25" s="1"/>
      <c r="C25" s="1"/>
      <c r="D25" s="1"/>
      <c r="E25" s="1"/>
    </row>
    <row r="27" spans="1:5" ht="21.75" customHeight="1" x14ac:dyDescent="0.3">
      <c r="A27" s="3" t="s">
        <v>441</v>
      </c>
      <c r="B27" s="3"/>
      <c r="C27" s="3"/>
      <c r="D27" s="3"/>
      <c r="E27" s="3"/>
    </row>
    <row r="28" spans="1:5" ht="18" customHeight="1" x14ac:dyDescent="0.3">
      <c r="A28" s="2" t="s">
        <v>442</v>
      </c>
      <c r="B28" s="2"/>
      <c r="C28" s="2"/>
      <c r="D28" s="2"/>
      <c r="E28" s="2"/>
    </row>
    <row r="29" spans="1:5" ht="18" customHeight="1" x14ac:dyDescent="0.3">
      <c r="A29" s="2"/>
      <c r="B29" s="2"/>
      <c r="C29" s="2"/>
      <c r="D29" s="2"/>
      <c r="E29" s="2"/>
    </row>
    <row r="30" spans="1:5" ht="18" customHeight="1" x14ac:dyDescent="0.3">
      <c r="A30" s="2"/>
      <c r="B30" s="2"/>
      <c r="C30" s="2"/>
      <c r="D30" s="2"/>
      <c r="E30" s="2"/>
    </row>
    <row r="31" spans="1:5" ht="18" customHeight="1" x14ac:dyDescent="0.3">
      <c r="A31" s="1" t="s">
        <v>443</v>
      </c>
      <c r="B31" s="1"/>
      <c r="C31" s="1"/>
      <c r="D31" s="1"/>
      <c r="E31" s="1"/>
    </row>
    <row r="32" spans="1:5" ht="18" customHeight="1" x14ac:dyDescent="0.3">
      <c r="A32" s="1"/>
      <c r="B32" s="1"/>
      <c r="C32" s="1"/>
      <c r="D32" s="1"/>
      <c r="E32" s="1"/>
    </row>
    <row r="33" spans="1:5" ht="18" customHeight="1" x14ac:dyDescent="0.3">
      <c r="A33" s="1"/>
      <c r="B33" s="1"/>
      <c r="C33" s="1"/>
      <c r="D33" s="1"/>
      <c r="E33" s="1"/>
    </row>
    <row r="35" spans="1:5" ht="21.75" customHeight="1" x14ac:dyDescent="0.3">
      <c r="A35" s="3" t="s">
        <v>444</v>
      </c>
      <c r="B35" s="3"/>
      <c r="C35" s="3"/>
      <c r="D35" s="3"/>
      <c r="E35" s="3"/>
    </row>
    <row r="36" spans="1:5" ht="18" customHeight="1" x14ac:dyDescent="0.3">
      <c r="A36" s="2" t="s">
        <v>445</v>
      </c>
      <c r="B36" s="2"/>
      <c r="C36" s="2"/>
      <c r="D36" s="2"/>
      <c r="E36" s="2"/>
    </row>
    <row r="37" spans="1:5" ht="18" customHeight="1" x14ac:dyDescent="0.3">
      <c r="A37" s="2"/>
      <c r="B37" s="2"/>
      <c r="C37" s="2"/>
      <c r="D37" s="2"/>
      <c r="E37" s="2"/>
    </row>
    <row r="38" spans="1:5" ht="18" customHeight="1" x14ac:dyDescent="0.3">
      <c r="A38" s="2"/>
      <c r="B38" s="2"/>
      <c r="C38" s="2"/>
      <c r="D38" s="2"/>
      <c r="E38" s="2"/>
    </row>
    <row r="39" spans="1:5" ht="18" customHeight="1" x14ac:dyDescent="0.3">
      <c r="A39" s="1" t="s">
        <v>446</v>
      </c>
      <c r="B39" s="1"/>
      <c r="C39" s="1"/>
      <c r="D39" s="1"/>
      <c r="E39" s="1"/>
    </row>
    <row r="40" spans="1:5" ht="18" customHeight="1" x14ac:dyDescent="0.3">
      <c r="A40" s="1"/>
      <c r="B40" s="1"/>
      <c r="C40" s="1"/>
      <c r="D40" s="1"/>
      <c r="E40" s="1"/>
    </row>
    <row r="41" spans="1:5" ht="18" customHeight="1" x14ac:dyDescent="0.3">
      <c r="A41" s="1"/>
      <c r="B41" s="1"/>
      <c r="C41" s="1"/>
      <c r="D41" s="1"/>
      <c r="E41" s="1"/>
    </row>
  </sheetData>
  <mergeCells count="16">
    <mergeCell ref="A39:E41"/>
    <mergeCell ref="A27:E27"/>
    <mergeCell ref="A28:E30"/>
    <mergeCell ref="A31:E33"/>
    <mergeCell ref="A35:E35"/>
    <mergeCell ref="A36:E38"/>
    <mergeCell ref="A12:E14"/>
    <mergeCell ref="A15:E17"/>
    <mergeCell ref="A19:E19"/>
    <mergeCell ref="A20:E22"/>
    <mergeCell ref="A23:E25"/>
    <mergeCell ref="A1:E1"/>
    <mergeCell ref="A3:E3"/>
    <mergeCell ref="A4:E6"/>
    <mergeCell ref="A7:E9"/>
    <mergeCell ref="A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E1DB-2A48-44DC-BD01-C4F7A11C4B2F}">
  <dimension ref="A1"/>
  <sheetViews>
    <sheetView workbookViewId="0">
      <selection activeCell="M26" sqref="M2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F975-3BBF-4D46-ABF2-F1145CD57F80}">
  <dimension ref="A1"/>
  <sheetViews>
    <sheetView workbookViewId="0">
      <selection activeCell="M23" sqref="M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0A175-2CCE-477D-9520-68EFFCF37921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62F2-5A4E-4E7F-AC6A-375751B8E20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Revenue Scenario Model</vt:lpstr>
      <vt:lpstr>RFM Analysis</vt:lpstr>
      <vt:lpstr>Seller Performance</vt:lpstr>
      <vt:lpstr>Key Insights</vt:lpstr>
      <vt:lpstr>Visuals</vt:lpstr>
      <vt:lpstr>Visuals2</vt:lpstr>
      <vt:lpstr>Visuals3</vt:lpstr>
      <vt:lpstr>Visuals4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vinay goud</cp:lastModifiedBy>
  <cp:revision>1</cp:revision>
  <dcterms:created xsi:type="dcterms:W3CDTF">2026-03-16T17:50:18Z</dcterms:created>
  <dcterms:modified xsi:type="dcterms:W3CDTF">2026-03-16T18:43:05Z</dcterms:modified>
  <dc:language>en-US</dc:language>
</cp:coreProperties>
</file>